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CC\OneDrive\Desktop\"/>
    </mc:Choice>
  </mc:AlternateContent>
  <xr:revisionPtr revIDLastSave="0" documentId="13_ncr:1_{B79E35A6-149D-432F-B825-EB0FDC076FCB}" xr6:coauthVersionLast="47" xr6:coauthVersionMax="47" xr10:uidLastSave="{00000000-0000-0000-0000-000000000000}"/>
  <bookViews>
    <workbookView xWindow="-108" yWindow="-108" windowWidth="23256" windowHeight="12576" xr2:uid="{00000000-000D-0000-FFFF-FFFF00000000}"/>
  </bookViews>
  <sheets>
    <sheet name="Sheet2" sheetId="3" r:id="rId1"/>
    <sheet name="2nd_Project" sheetId="1" r:id="rId2"/>
  </sheets>
  <definedNames>
    <definedName name="_xlchart.v1.0" hidden="1">Sheet2!$E$108:$E$113</definedName>
    <definedName name="_xlchart.v1.1" hidden="1">Sheet2!$F$108:$F$113</definedName>
    <definedName name="_xlcn.WorksheetConnection_2nd_ProjectAQ1" hidden="1">'2nd_Project'!$A:$Q</definedName>
    <definedName name="Slicer_City">#N/A</definedName>
    <definedName name="Slicer_Month">#N/A</definedName>
    <definedName name="Slicer_Payment_Mode">#N/A</definedName>
    <definedName name="Slicer_Product_Category">#N/A</definedName>
  </definedNames>
  <calcPr calcId="191029"/>
  <pivotCaches>
    <pivotCache cacheId="0" r:id="rId3"/>
    <pivotCache cacheId="1" r:id="rId4"/>
    <pivotCache cacheId="2" r:id="rId5"/>
    <pivotCache cacheId="3" r:id="rId6"/>
  </pivotCaches>
  <extLst>
    <ext xmlns:x14="http://schemas.microsoft.com/office/spreadsheetml/2009/9/main" uri="{876F7934-8845-4945-9796-88D515C7AA90}">
      <x14:pivotCaches>
        <pivotCache cacheId="4" r:id="rId7"/>
        <pivotCache cacheId="5" r:id="rId8"/>
        <pivotCache cacheId="6"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2nd_Project!$A:$Q"/>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88" i="1" l="1"/>
  <c r="Q2" i="1"/>
  <c r="Q3" i="1"/>
  <c r="Q4" i="1"/>
  <c r="Q5" i="1"/>
  <c r="Q6" i="1"/>
  <c r="S90" i="1" s="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S29" i="1"/>
  <c r="S23" i="1"/>
  <c r="S32" i="1" s="1"/>
  <c r="S27" i="1"/>
  <c r="S26" i="1"/>
  <c r="S35" i="1" s="1"/>
  <c r="S25" i="1"/>
  <c r="S34" i="1" s="1"/>
  <c r="S24" i="1"/>
  <c r="S21" i="1"/>
  <c r="S17" i="1"/>
  <c r="S11" i="1"/>
  <c r="S12" i="1"/>
  <c r="S36" i="1" l="1"/>
  <c r="S33" i="1"/>
  <c r="S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87154C-899D-4FEE-A5F6-C2797192AF1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9553E2-89F9-4A04-BC97-362E4C1BA74D}" name="WorksheetConnection_2nd_Project!$A:$Q" type="102" refreshedVersion="7" minRefreshableVersion="5">
    <extLst>
      <ext xmlns:x15="http://schemas.microsoft.com/office/spreadsheetml/2010/11/main" uri="{DE250136-89BD-433C-8126-D09CA5730AF9}">
        <x15:connection id="Range 1" autoDelete="1">
          <x15:rangePr sourceName="_xlcn.WorksheetConnection_2nd_ProjectAQ1"/>
        </x15:connection>
      </ext>
    </extLst>
  </connection>
</connections>
</file>

<file path=xl/sharedStrings.xml><?xml version="1.0" encoding="utf-8"?>
<sst xmlns="http://schemas.openxmlformats.org/spreadsheetml/2006/main" count="1058" uniqueCount="205">
  <si>
    <t>Customer_ID</t>
  </si>
  <si>
    <t>Name</t>
  </si>
  <si>
    <t>Age</t>
  </si>
  <si>
    <t>Gender</t>
  </si>
  <si>
    <t>City</t>
  </si>
  <si>
    <t>Product_Category</t>
  </si>
  <si>
    <t>Product_Name</t>
  </si>
  <si>
    <t>Quantity</t>
  </si>
  <si>
    <t>Price</t>
  </si>
  <si>
    <t>Purchase_Date</t>
  </si>
  <si>
    <t>Payment_Mode</t>
  </si>
  <si>
    <t>Feedback_Score</t>
  </si>
  <si>
    <t>Discount_Percentage</t>
  </si>
  <si>
    <t>Revenue</t>
  </si>
  <si>
    <t>Month</t>
  </si>
  <si>
    <t>CUST1000</t>
  </si>
  <si>
    <t>Priya</t>
  </si>
  <si>
    <t>Male</t>
  </si>
  <si>
    <t>Hyderabad</t>
  </si>
  <si>
    <t>Toys</t>
  </si>
  <si>
    <t>Laptop</t>
  </si>
  <si>
    <t>UPI</t>
  </si>
  <si>
    <t>2022-01</t>
  </si>
  <si>
    <t>CUST1001</t>
  </si>
  <si>
    <t>Amit</t>
  </si>
  <si>
    <t>Female</t>
  </si>
  <si>
    <t>Pune</t>
  </si>
  <si>
    <t>Doll</t>
  </si>
  <si>
    <t>Credit Card</t>
  </si>
  <si>
    <t>CUST1002</t>
  </si>
  <si>
    <t>Arjun</t>
  </si>
  <si>
    <t>Bangalore</t>
  </si>
  <si>
    <t>Novel</t>
  </si>
  <si>
    <t>Debit Card</t>
  </si>
  <si>
    <t>CUST1003</t>
  </si>
  <si>
    <t>Neha</t>
  </si>
  <si>
    <t>Kolkata</t>
  </si>
  <si>
    <t>Groceries</t>
  </si>
  <si>
    <t>Net Banking</t>
  </si>
  <si>
    <t>CUST1004</t>
  </si>
  <si>
    <t>CUST1005</t>
  </si>
  <si>
    <t>Ravi</t>
  </si>
  <si>
    <t>Delhi</t>
  </si>
  <si>
    <t>Clothing</t>
  </si>
  <si>
    <t>Sofa</t>
  </si>
  <si>
    <t>2022-02</t>
  </si>
  <si>
    <t>CUST1006</t>
  </si>
  <si>
    <t>Mumbai</t>
  </si>
  <si>
    <t>Books</t>
  </si>
  <si>
    <t>CUST1007</t>
  </si>
  <si>
    <t>Pooja</t>
  </si>
  <si>
    <t>Shirt</t>
  </si>
  <si>
    <t>CUST1008</t>
  </si>
  <si>
    <t>CUST1009</t>
  </si>
  <si>
    <t>Sanjay</t>
  </si>
  <si>
    <t>Chennai</t>
  </si>
  <si>
    <t>Table</t>
  </si>
  <si>
    <t>2022-03</t>
  </si>
  <si>
    <t>CUST1010</t>
  </si>
  <si>
    <t>Meena</t>
  </si>
  <si>
    <t>Phone</t>
  </si>
  <si>
    <t>CUST1011</t>
  </si>
  <si>
    <t>Furniture</t>
  </si>
  <si>
    <t>Jeans</t>
  </si>
  <si>
    <t>CUST1012</t>
  </si>
  <si>
    <t>Rice</t>
  </si>
  <si>
    <t>CUST1013</t>
  </si>
  <si>
    <t>Cash</t>
  </si>
  <si>
    <t>2022-04</t>
  </si>
  <si>
    <t>CUST1014</t>
  </si>
  <si>
    <t>CUST1015</t>
  </si>
  <si>
    <t>CUST1016</t>
  </si>
  <si>
    <t>CUST1017</t>
  </si>
  <si>
    <t>CUST1018</t>
  </si>
  <si>
    <t>Electronics</t>
  </si>
  <si>
    <t>2022-05</t>
  </si>
  <si>
    <t>CUST1019</t>
  </si>
  <si>
    <t>CUST1020</t>
  </si>
  <si>
    <t>CUST1021</t>
  </si>
  <si>
    <t>CUST1022</t>
  </si>
  <si>
    <t>2022-06</t>
  </si>
  <si>
    <t>CUST1023</t>
  </si>
  <si>
    <t>CUST1024</t>
  </si>
  <si>
    <t>Vikram</t>
  </si>
  <si>
    <t>CUST1025</t>
  </si>
  <si>
    <t>CUST1026</t>
  </si>
  <si>
    <t>2022-07</t>
  </si>
  <si>
    <t>CUST1027</t>
  </si>
  <si>
    <t>TV</t>
  </si>
  <si>
    <t>CUST1028</t>
  </si>
  <si>
    <t>CUST1029</t>
  </si>
  <si>
    <t>CUST1030</t>
  </si>
  <si>
    <t>Kiran</t>
  </si>
  <si>
    <t>CUST1031</t>
  </si>
  <si>
    <t>2022-08</t>
  </si>
  <si>
    <t>CUST1032</t>
  </si>
  <si>
    <t>CUST1033</t>
  </si>
  <si>
    <t>CUST1034</t>
  </si>
  <si>
    <t>CUST1035</t>
  </si>
  <si>
    <t>2022-09</t>
  </si>
  <si>
    <t>CUST1036</t>
  </si>
  <si>
    <t>CUST1037</t>
  </si>
  <si>
    <t>CUST1038</t>
  </si>
  <si>
    <t>CUST1039</t>
  </si>
  <si>
    <t>2022-10</t>
  </si>
  <si>
    <t>CUST1040</t>
  </si>
  <si>
    <t>CUST1041</t>
  </si>
  <si>
    <t>CUST1042</t>
  </si>
  <si>
    <t>CUST1043</t>
  </si>
  <si>
    <t>CUST1044</t>
  </si>
  <si>
    <t>2022-11</t>
  </si>
  <si>
    <t>CUST1045</t>
  </si>
  <si>
    <t>CUST1046</t>
  </si>
  <si>
    <t>CUST1047</t>
  </si>
  <si>
    <t>CUST1048</t>
  </si>
  <si>
    <t>2022-12</t>
  </si>
  <si>
    <t>CUST1049</t>
  </si>
  <si>
    <t>CUST1050</t>
  </si>
  <si>
    <t>CUST1051</t>
  </si>
  <si>
    <t>CUST1052</t>
  </si>
  <si>
    <t>CUST1053</t>
  </si>
  <si>
    <t>2023-01</t>
  </si>
  <si>
    <t>CUST1054</t>
  </si>
  <si>
    <t>CUST1055</t>
  </si>
  <si>
    <t>CUST1056</t>
  </si>
  <si>
    <t>CUST1057</t>
  </si>
  <si>
    <t>2023-02</t>
  </si>
  <si>
    <t>CUST1058</t>
  </si>
  <si>
    <t>CUST1059</t>
  </si>
  <si>
    <t>CUST1060</t>
  </si>
  <si>
    <t>CUST1061</t>
  </si>
  <si>
    <t>2023-03</t>
  </si>
  <si>
    <t>CUST1062</t>
  </si>
  <si>
    <t>CUST1063</t>
  </si>
  <si>
    <t>CUST1064</t>
  </si>
  <si>
    <t>CUST1065</t>
  </si>
  <si>
    <t>2023-04</t>
  </si>
  <si>
    <t>CUST1066</t>
  </si>
  <si>
    <t>CUST1067</t>
  </si>
  <si>
    <t>CUST1068</t>
  </si>
  <si>
    <t>CUST1069</t>
  </si>
  <si>
    <t>CUST1070</t>
  </si>
  <si>
    <t>2023-05</t>
  </si>
  <si>
    <t>CUST1071</t>
  </si>
  <si>
    <t>CUST1072</t>
  </si>
  <si>
    <t>CUST1073</t>
  </si>
  <si>
    <t>CUST1074</t>
  </si>
  <si>
    <t>2023-06</t>
  </si>
  <si>
    <t>CUST1075</t>
  </si>
  <si>
    <t>CUST1076</t>
  </si>
  <si>
    <t>CUST1077</t>
  </si>
  <si>
    <t>CUST1078</t>
  </si>
  <si>
    <t>2023-07</t>
  </si>
  <si>
    <t>CUST1079</t>
  </si>
  <si>
    <t>CUST1080</t>
  </si>
  <si>
    <t>CUST1081</t>
  </si>
  <si>
    <t>CUST1082</t>
  </si>
  <si>
    <t>CUST1083</t>
  </si>
  <si>
    <t>2023-08</t>
  </si>
  <si>
    <t>CUST1084</t>
  </si>
  <si>
    <t>CUST1085</t>
  </si>
  <si>
    <t>CUST1086</t>
  </si>
  <si>
    <t>CUST1087</t>
  </si>
  <si>
    <t>2023-09</t>
  </si>
  <si>
    <t>CUST1088</t>
  </si>
  <si>
    <t>CUST1089</t>
  </si>
  <si>
    <t>CUST1090</t>
  </si>
  <si>
    <t>CUST1091</t>
  </si>
  <si>
    <t>CUST1092</t>
  </si>
  <si>
    <t>2023-10</t>
  </si>
  <si>
    <t>CUST1093</t>
  </si>
  <si>
    <t>CUST1094</t>
  </si>
  <si>
    <t>CUST1095</t>
  </si>
  <si>
    <t>CUST1096</t>
  </si>
  <si>
    <t>2023-11</t>
  </si>
  <si>
    <t>CUST1097</t>
  </si>
  <si>
    <t>CUST1098</t>
  </si>
  <si>
    <t>CUST1099</t>
  </si>
  <si>
    <t>Sum of Revenue</t>
  </si>
  <si>
    <t>Average Order Value</t>
  </si>
  <si>
    <t>AOV</t>
  </si>
  <si>
    <t>Total Customers</t>
  </si>
  <si>
    <t>Row Labels</t>
  </si>
  <si>
    <t>(blank)</t>
  </si>
  <si>
    <t>Grand Total</t>
  </si>
  <si>
    <t>Product Category Share In Revenue</t>
  </si>
  <si>
    <t>Count of 1str</t>
  </si>
  <si>
    <t>Count of 2str</t>
  </si>
  <si>
    <t>Count of 3str</t>
  </si>
  <si>
    <t>Count of 4str</t>
  </si>
  <si>
    <t>Count of 5str</t>
  </si>
  <si>
    <t>Total feedbacks</t>
  </si>
  <si>
    <t xml:space="preserve"> 1str</t>
  </si>
  <si>
    <t xml:space="preserve"> 2str</t>
  </si>
  <si>
    <t xml:space="preserve"> 3str</t>
  </si>
  <si>
    <t xml:space="preserve"> 5str</t>
  </si>
  <si>
    <t>total feedbacks</t>
  </si>
  <si>
    <t>feedbacks stars</t>
  </si>
  <si>
    <t xml:space="preserve"> 4str</t>
  </si>
  <si>
    <t>Profit</t>
  </si>
  <si>
    <t>Sales</t>
  </si>
  <si>
    <t>Profit%</t>
  </si>
  <si>
    <t>Profit 20%</t>
  </si>
  <si>
    <t>Profit Margine taken as 20%</t>
  </si>
  <si>
    <t>Sum of Profit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</si>
</sst>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809]#,##0.00"/>
    <numFmt numFmtId="165" formatCode="[$$-1009]#,##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27AD0"/>
      <color rgb="FF1D8EEB"/>
      <color rgb="FF6A79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21" Type="http://schemas.openxmlformats.org/officeDocument/2006/relationships/customXml" Target="../customXml/item2.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[2nd_Project.xlsx]Sheet2!PivotTable5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Sheet2!$E$73</c:f>
              <c:strCache>
                <c:ptCount val="1"/>
                <c:pt idx="0">
                  <c:v>Total</c:v>
                </c:pt>
              </c:strCache>
            </c:strRef>
          </c:tx>
          <c:spPr>
            <a:solidFill>
              <a:schemeClr val="accent1"/>
            </a:solidFill>
            <a:ln>
              <a:noFill/>
            </a:ln>
            <a:effectLst/>
          </c:spPr>
          <c:invertIfNegative val="0"/>
          <c:cat>
            <c:strRef>
              <c:f>Sheet2!$D$74:$D$85</c:f>
              <c:strCache>
                <c:ptCount val="11"/>
                <c:pt idx="0">
                  <c:v>Doll</c:v>
                </c:pt>
                <c:pt idx="1">
                  <c:v>Jeans</c:v>
                </c:pt>
                <c:pt idx="2">
                  <c:v>Laptop</c:v>
                </c:pt>
                <c:pt idx="3">
                  <c:v>Novel</c:v>
                </c:pt>
                <c:pt idx="4">
                  <c:v>Phone</c:v>
                </c:pt>
                <c:pt idx="5">
                  <c:v>Rice</c:v>
                </c:pt>
                <c:pt idx="6">
                  <c:v>Shirt</c:v>
                </c:pt>
                <c:pt idx="7">
                  <c:v>Sofa</c:v>
                </c:pt>
                <c:pt idx="8">
                  <c:v>Table</c:v>
                </c:pt>
                <c:pt idx="9">
                  <c:v>TV</c:v>
                </c:pt>
                <c:pt idx="10">
                  <c:v>(blank)</c:v>
                </c:pt>
              </c:strCache>
            </c:strRef>
          </c:cat>
          <c:val>
            <c:numRef>
              <c:f>Sheet2!$E$74:$E$85</c:f>
              <c:numCache>
                <c:formatCode>General</c:formatCode>
                <c:ptCount val="11"/>
                <c:pt idx="0">
                  <c:v>176948</c:v>
                </c:pt>
                <c:pt idx="1">
                  <c:v>126434</c:v>
                </c:pt>
                <c:pt idx="2">
                  <c:v>116707</c:v>
                </c:pt>
                <c:pt idx="3">
                  <c:v>160506</c:v>
                </c:pt>
                <c:pt idx="4">
                  <c:v>173541</c:v>
                </c:pt>
                <c:pt idx="5">
                  <c:v>89697</c:v>
                </c:pt>
                <c:pt idx="6">
                  <c:v>129139</c:v>
                </c:pt>
                <c:pt idx="7">
                  <c:v>177353</c:v>
                </c:pt>
                <c:pt idx="8">
                  <c:v>96427</c:v>
                </c:pt>
                <c:pt idx="9">
                  <c:v>31668</c:v>
                </c:pt>
              </c:numCache>
            </c:numRef>
          </c:val>
          <c:extLst>
            <c:ext xmlns:c16="http://schemas.microsoft.com/office/drawing/2014/chart" uri="{C3380CC4-5D6E-409C-BE32-E72D297353CC}">
              <c16:uniqueId val="{00000000-ABF0-4544-A0B0-1581EDA55838}"/>
            </c:ext>
          </c:extLst>
        </c:ser>
        <c:dLbls>
          <c:showLegendKey val="0"/>
          <c:showVal val="0"/>
          <c:showCatName val="0"/>
          <c:showSerName val="0"/>
          <c:showPercent val="0"/>
          <c:showBubbleSize val="0"/>
        </c:dLbls>
        <c:gapWidth val="69"/>
        <c:overlap val="-66"/>
        <c:axId val="791754975"/>
        <c:axId val="791759551"/>
      </c:barChart>
      <c:catAx>
        <c:axId val="791754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59551"/>
        <c:crosses val="autoZero"/>
        <c:auto val="1"/>
        <c:lblAlgn val="ctr"/>
        <c:lblOffset val="100"/>
        <c:noMultiLvlLbl val="0"/>
      </c:catAx>
      <c:valAx>
        <c:axId val="7917595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54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[2nd_Project.xlsx]Sheet2!PivotTable8</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Sheet2!$E$92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42C-4706-BE84-55173ED41F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42C-4706-BE84-55173ED41F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9B9-4253-97A3-06CA1281260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9B9-4253-97A3-06CA1281260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9B9-4253-97A3-06CA128126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Sheet2!$D$93:$D$98</c:f>
              <c:strCache>
                <c:ptCount val="5"/>
                <c:pt idx="0">
                  <c:v>Cash</c:v>
                </c:pt>
                <c:pt idx="1">
                  <c:v>Credit Card</c:v>
                </c:pt>
                <c:pt idx="2">
                  <c:v>Debit Card</c:v>
                </c:pt>
                <c:pt idx="3">
                  <c:v>Net Banking</c:v>
                </c:pt>
                <c:pt idx="4">
                  <c:v>UPI</c:v>
                </c:pt>
              </c:strCache>
            </c:strRef>
          </c:cat>
          <c:val>
            <c:numRef>
              <c:f>Sheet2!$E$93:$E$98</c:f>
              <c:numCache>
                <c:formatCode>General</c:formatCode>
                <c:ptCount val="5"/>
                <c:pt idx="0">
                  <c:v>218426</c:v>
                </c:pt>
                <c:pt idx="1">
                  <c:v>327207</c:v>
                </c:pt>
                <c:pt idx="2">
                  <c:v>367826</c:v>
                </c:pt>
                <c:pt idx="3">
                  <c:v>198079</c:v>
                </c:pt>
                <c:pt idx="4">
                  <c:v>166882</c:v>
                </c:pt>
              </c:numCache>
            </c:numRef>
          </c:val>
          <c:extLst>
            <c:ext xmlns:c16="http://schemas.microsoft.com/office/drawing/2014/chart" uri="{C3380CC4-5D6E-409C-BE32-E72D297353CC}">
              <c16:uniqueId val="{00000000-A42C-4706-BE84-55173ED41FF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[2nd_Project.xlsx]Sheet2!PivotTable5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Sheet2!$D$74:$D$85</c:f>
              <c:strCache>
                <c:ptCount val="11"/>
                <c:pt idx="0">
                  <c:v>Doll</c:v>
                </c:pt>
                <c:pt idx="1">
                  <c:v>Jeans</c:v>
                </c:pt>
                <c:pt idx="2">
                  <c:v>Laptop</c:v>
                </c:pt>
                <c:pt idx="3">
                  <c:v>Novel</c:v>
                </c:pt>
                <c:pt idx="4">
                  <c:v>Phone</c:v>
                </c:pt>
                <c:pt idx="5">
                  <c:v>Rice</c:v>
                </c:pt>
                <c:pt idx="6">
                  <c:v>Shirt</c:v>
                </c:pt>
                <c:pt idx="7">
                  <c:v>Sofa</c:v>
                </c:pt>
                <c:pt idx="8">
                  <c:v>Table</c:v>
                </c:pt>
                <c:pt idx="9">
                  <c:v>TV</c:v>
                </c:pt>
                <c:pt idx="10">
                  <c:v>(blank)</c:v>
                </c:pt>
              </c:strCache>
            </c:strRef>
          </c:cat>
          <c:val>
            <c:numRef>
              <c:f>Sheet2!$E$74:$E$85</c:f>
              <c:numCache>
                <c:formatCode>General</c:formatCode>
                <c:ptCount val="11"/>
                <c:pt idx="0">
                  <c:v>176948</c:v>
                </c:pt>
                <c:pt idx="1">
                  <c:v>126434</c:v>
                </c:pt>
                <c:pt idx="2">
                  <c:v>116707</c:v>
                </c:pt>
                <c:pt idx="3">
                  <c:v>160506</c:v>
                </c:pt>
                <c:pt idx="4">
                  <c:v>173541</c:v>
                </c:pt>
                <c:pt idx="5">
                  <c:v>89697</c:v>
                </c:pt>
                <c:pt idx="6">
                  <c:v>129139</c:v>
                </c:pt>
                <c:pt idx="7">
                  <c:v>177353</c:v>
                </c:pt>
                <c:pt idx="8">
                  <c:v>96427</c:v>
                </c:pt>
                <c:pt idx="9">
                  <c:v>31668</c:v>
                </c:pt>
              </c:numCache>
            </c:numRef>
          </c:val>
          <c:extLst>
            <c:ext xmlns:c16="http://schemas.microsoft.com/office/drawing/2014/chart" uri="{C3380CC4-5D6E-409C-BE32-E72D297353CC}">
              <c16:uniqueId val="{00000000-E51B-4B2C-9160-AC174F413D4D}"/>
            </c:ext>
          </c:extLst>
        </c:ser>
        <c:dLbls>
          <c:showLegendKey val="0"/>
          <c:showVal val="0"/>
          <c:showCatName val="0"/>
          <c:showSerName val="0"/>
          <c:showPercent val="0"/>
          <c:showBubbleSize val="0"/>
        </c:dLbls>
        <c:gapWidth val="115"/>
        <c:overlap val="-20"/>
        <c:axId val="791754975"/>
        <c:axId val="791759551"/>
      </c:barChart>
      <c:catAx>
        <c:axId val="791754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1759551"/>
        <c:crosses val="autoZero"/>
        <c:auto val="1"/>
        <c:lblAlgn val="ctr"/>
        <c:lblOffset val="100"/>
        <c:noMultiLvlLbl val="0"/>
      </c:catAx>
      <c:valAx>
        <c:axId val="7917595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1754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Sheet2!$E$101</c:f>
              <c:strCache>
                <c:ptCount val="1"/>
                <c:pt idx="0">
                  <c:v>total feedbacks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112-47EC-8592-DB6D1B39EB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112-47EC-8592-DB6D1B39EB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112-47EC-8592-DB6D1B39EB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112-47EC-8592-DB6D1B39EB9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112-47EC-8592-DB6D1B39EB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Sheet2!$D$102:$D$106</c:f>
              <c:strCache>
                <c:ptCount val="5"/>
                <c:pt idx="0">
                  <c:v> 1str</c:v>
                </c:pt>
                <c:pt idx="1">
                  <c:v> 2str</c:v>
                </c:pt>
                <c:pt idx="2">
                  <c:v> 3str</c:v>
                </c:pt>
                <c:pt idx="3">
                  <c:v> 4str</c:v>
                </c:pt>
                <c:pt idx="4">
                  <c:v> 5str</c:v>
                </c:pt>
              </c:strCache>
            </c:strRef>
          </c:cat>
          <c:val>
            <c:numRef>
              <c:f>Sheet2!$E$102:$E$106</c:f>
              <c:numCache>
                <c:formatCode>General</c:formatCode>
                <c:ptCount val="5"/>
                <c:pt idx="0">
                  <c:v>18.811</c:v>
                </c:pt>
                <c:pt idx="1">
                  <c:v>26.732600000000001</c:v>
                </c:pt>
                <c:pt idx="2">
                  <c:v>12.8712</c:v>
                </c:pt>
                <c:pt idx="3">
                  <c:v>18.811</c:v>
                </c:pt>
                <c:pt idx="4">
                  <c:v>21.7821</c:v>
                </c:pt>
              </c:numCache>
            </c:numRef>
          </c:val>
          <c:extLst>
            <c:ext xmlns:c16="http://schemas.microsoft.com/office/drawing/2014/chart" uri="{C3380CC4-5D6E-409C-BE32-E72D297353CC}">
              <c16:uniqueId val="{00000000-E421-4FEF-849F-A575D6D934EA}"/>
            </c:ext>
          </c:extLst>
        </c:ser>
        <c:dLbls>
          <c:showLegendKey val="0"/>
          <c:showVal val="1"/>
          <c:showCatName val="0"/>
          <c:showSerName val="0"/>
          <c:showPercent val="0"/>
          <c:showBubbleSize val="0"/>
          <c:showLeaderLines val="1"/>
        </c:dLbls>
        <c:firstSliceAng val="136"/>
        <c:holeSize val="4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[2nd_Project.xlsx]Sheet2!PivotTable4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Sheet2!$H$50</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Sheet2!$G$51:$G$75</c:f>
              <c:strCache>
                <c:ptCount val="24"/>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(blank)</c:v>
                </c:pt>
              </c:strCache>
            </c:strRef>
          </c:cat>
          <c:val>
            <c:numRef>
              <c:f>Sheet2!$H$51:$H$75</c:f>
              <c:numCache>
                <c:formatCode>General</c:formatCode>
                <c:ptCount val="24"/>
                <c:pt idx="0">
                  <c:v>65602</c:v>
                </c:pt>
                <c:pt idx="1">
                  <c:v>47228</c:v>
                </c:pt>
                <c:pt idx="2">
                  <c:v>47436</c:v>
                </c:pt>
                <c:pt idx="3">
                  <c:v>41780</c:v>
                </c:pt>
                <c:pt idx="4">
                  <c:v>53007</c:v>
                </c:pt>
                <c:pt idx="5">
                  <c:v>61001</c:v>
                </c:pt>
                <c:pt idx="6">
                  <c:v>64342</c:v>
                </c:pt>
                <c:pt idx="7">
                  <c:v>73954</c:v>
                </c:pt>
                <c:pt idx="8">
                  <c:v>70614</c:v>
                </c:pt>
                <c:pt idx="9">
                  <c:v>94401</c:v>
                </c:pt>
                <c:pt idx="10">
                  <c:v>52130</c:v>
                </c:pt>
                <c:pt idx="11">
                  <c:v>111924</c:v>
                </c:pt>
                <c:pt idx="12">
                  <c:v>50091</c:v>
                </c:pt>
                <c:pt idx="13">
                  <c:v>57207</c:v>
                </c:pt>
                <c:pt idx="14">
                  <c:v>46806</c:v>
                </c:pt>
                <c:pt idx="15">
                  <c:v>41046</c:v>
                </c:pt>
                <c:pt idx="16">
                  <c:v>16276</c:v>
                </c:pt>
                <c:pt idx="17">
                  <c:v>46844</c:v>
                </c:pt>
                <c:pt idx="18">
                  <c:v>58650</c:v>
                </c:pt>
                <c:pt idx="19">
                  <c:v>43311</c:v>
                </c:pt>
                <c:pt idx="20">
                  <c:v>59261</c:v>
                </c:pt>
                <c:pt idx="21">
                  <c:v>36408</c:v>
                </c:pt>
                <c:pt idx="22">
                  <c:v>39101</c:v>
                </c:pt>
              </c:numCache>
            </c:numRef>
          </c:val>
          <c:extLst>
            <c:ext xmlns:c16="http://schemas.microsoft.com/office/drawing/2014/chart" uri="{C3380CC4-5D6E-409C-BE32-E72D297353CC}">
              <c16:uniqueId val="{00000001-FDAE-40CB-BF44-831B71E3DAC3}"/>
            </c:ext>
          </c:extLst>
        </c:ser>
        <c:ser>
          <c:idx val="1"/>
          <c:order val="1"/>
          <c:tx>
            <c:strRef>
              <c:f>Sheet2!$I$50</c:f>
              <c:strCache>
                <c:ptCount val="1"/>
                <c:pt idx="0">
                  <c:v>Sum of Profit 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Sheet2!$G$51:$G$75</c:f>
              <c:strCache>
                <c:ptCount val="24"/>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(blank)</c:v>
                </c:pt>
              </c:strCache>
            </c:strRef>
          </c:cat>
          <c:val>
            <c:numRef>
              <c:f>Sheet2!$I$51:$I$75</c:f>
              <c:numCache>
                <c:formatCode>General</c:formatCode>
                <c:ptCount val="24"/>
                <c:pt idx="0">
                  <c:v>13124.400000000001</c:v>
                </c:pt>
                <c:pt idx="1">
                  <c:v>9449.6</c:v>
                </c:pt>
                <c:pt idx="2">
                  <c:v>9491.2000000000007</c:v>
                </c:pt>
                <c:pt idx="3">
                  <c:v>8361</c:v>
                </c:pt>
                <c:pt idx="4">
                  <c:v>10605.4</c:v>
                </c:pt>
                <c:pt idx="5">
                  <c:v>12204.2</c:v>
                </c:pt>
                <c:pt idx="6">
                  <c:v>12873.4</c:v>
                </c:pt>
                <c:pt idx="7">
                  <c:v>14794.8</c:v>
                </c:pt>
                <c:pt idx="8">
                  <c:v>14126.800000000001</c:v>
                </c:pt>
                <c:pt idx="9">
                  <c:v>18885.200000000004</c:v>
                </c:pt>
                <c:pt idx="10">
                  <c:v>10430</c:v>
                </c:pt>
                <c:pt idx="11">
                  <c:v>22389.8</c:v>
                </c:pt>
                <c:pt idx="12">
                  <c:v>10022.200000000001</c:v>
                </c:pt>
                <c:pt idx="13">
                  <c:v>11445.400000000001</c:v>
                </c:pt>
                <c:pt idx="14">
                  <c:v>9365.2000000000007</c:v>
                </c:pt>
                <c:pt idx="15">
                  <c:v>8214.2000000000007</c:v>
                </c:pt>
                <c:pt idx="16">
                  <c:v>3259.2</c:v>
                </c:pt>
                <c:pt idx="17">
                  <c:v>9372.8000000000011</c:v>
                </c:pt>
                <c:pt idx="18">
                  <c:v>11735</c:v>
                </c:pt>
                <c:pt idx="19">
                  <c:v>8666.2000000000007</c:v>
                </c:pt>
                <c:pt idx="20">
                  <c:v>11857.2</c:v>
                </c:pt>
                <c:pt idx="21">
                  <c:v>7285.6</c:v>
                </c:pt>
                <c:pt idx="22">
                  <c:v>7824.2000000000007</c:v>
                </c:pt>
              </c:numCache>
            </c:numRef>
          </c:val>
          <c:extLst>
            <c:ext xmlns:c16="http://schemas.microsoft.com/office/drawing/2014/chart" uri="{C3380CC4-5D6E-409C-BE32-E72D297353CC}">
              <c16:uniqueId val="{00000002-FDAE-40CB-BF44-831B71E3DAC3}"/>
            </c:ext>
          </c:extLst>
        </c:ser>
        <c:dLbls>
          <c:showLegendKey val="0"/>
          <c:showVal val="0"/>
          <c:showCatName val="0"/>
          <c:showSerName val="0"/>
          <c:showPercent val="0"/>
          <c:showBubbleSize val="0"/>
        </c:dLbls>
        <c:gapWidth val="100"/>
        <c:overlap val="-24"/>
        <c:axId val="116251824"/>
        <c:axId val="116256816"/>
      </c:barChart>
      <c:catAx>
        <c:axId val="116251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56816"/>
        <c:crosses val="autoZero"/>
        <c:auto val="1"/>
        <c:lblAlgn val="ctr"/>
        <c:lblOffset val="100"/>
        <c:noMultiLvlLbl val="0"/>
      </c:catAx>
      <c:valAx>
        <c:axId val="116256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5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[2nd_Project.xlsx]Sheet2!PivotTable7</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Sheet2!$E$44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Sheet2!$D$45:$D$69</c:f>
              <c:strCache>
                <c:ptCount val="24"/>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(blank)</c:v>
                </c:pt>
              </c:strCache>
            </c:strRef>
          </c:cat>
          <c:val>
            <c:numRef>
              <c:f>Sheet2!$E$45:$E$69</c:f>
              <c:numCache>
                <c:formatCode>General</c:formatCode>
                <c:ptCount val="24"/>
                <c:pt idx="0">
                  <c:v>65602</c:v>
                </c:pt>
                <c:pt idx="1">
                  <c:v>47228</c:v>
                </c:pt>
                <c:pt idx="2">
                  <c:v>47436</c:v>
                </c:pt>
                <c:pt idx="3">
                  <c:v>41780</c:v>
                </c:pt>
                <c:pt idx="4">
                  <c:v>53007</c:v>
                </c:pt>
                <c:pt idx="5">
                  <c:v>61001</c:v>
                </c:pt>
                <c:pt idx="6">
                  <c:v>64342</c:v>
                </c:pt>
                <c:pt idx="7">
                  <c:v>73954</c:v>
                </c:pt>
                <c:pt idx="8">
                  <c:v>70614</c:v>
                </c:pt>
                <c:pt idx="9">
                  <c:v>94401</c:v>
                </c:pt>
                <c:pt idx="10">
                  <c:v>52130</c:v>
                </c:pt>
                <c:pt idx="11">
                  <c:v>111924</c:v>
                </c:pt>
                <c:pt idx="12">
                  <c:v>50091</c:v>
                </c:pt>
                <c:pt idx="13">
                  <c:v>57207</c:v>
                </c:pt>
                <c:pt idx="14">
                  <c:v>46806</c:v>
                </c:pt>
                <c:pt idx="15">
                  <c:v>41046</c:v>
                </c:pt>
                <c:pt idx="16">
                  <c:v>16276</c:v>
                </c:pt>
                <c:pt idx="17">
                  <c:v>46844</c:v>
                </c:pt>
                <c:pt idx="18">
                  <c:v>58650</c:v>
                </c:pt>
                <c:pt idx="19">
                  <c:v>43311</c:v>
                </c:pt>
                <c:pt idx="20">
                  <c:v>59261</c:v>
                </c:pt>
                <c:pt idx="21">
                  <c:v>36408</c:v>
                </c:pt>
                <c:pt idx="22">
                  <c:v>39101</c:v>
                </c:pt>
              </c:numCache>
            </c:numRef>
          </c:val>
          <c:extLst>
            <c:ext xmlns:c16="http://schemas.microsoft.com/office/drawing/2014/chart" uri="{C3380CC4-5D6E-409C-BE32-E72D297353CC}">
              <c16:uniqueId val="{00000000-E685-4A4B-BF5F-23936560A57B}"/>
            </c:ext>
          </c:extLst>
        </c:ser>
        <c:dLbls>
          <c:showLegendKey val="0"/>
          <c:showVal val="0"/>
          <c:showCatName val="0"/>
          <c:showSerName val="0"/>
          <c:showPercent val="0"/>
          <c:showBubbleSize val="0"/>
        </c:dLbls>
        <c:axId val="527170543"/>
        <c:axId val="527167631"/>
      </c:areaChart>
      <c:catAx>
        <c:axId val="52717054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167631"/>
        <c:crosses val="autoZero"/>
        <c:auto val="1"/>
        <c:lblAlgn val="ctr"/>
        <c:lblOffset val="100"/>
        <c:noMultiLvlLbl val="0"/>
      </c:catAx>
      <c:valAx>
        <c:axId val="52716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1705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[2nd_Project.xlsx]Sheet2!PivotTable8</c:name>
    <c:fmtId val="3"/>
  </c:pivotSource>
  <c:chart>
    <c:autoTitleDeleted val="1"/>
    <c:pivotFmts>
      <c:pivotFmt>
        <c:idx val="0"/>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Sheet2!$E$92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34-47B3-BC1C-C579A05BC7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34-47B3-BC1C-C579A05BC7F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34-47B3-BC1C-C579A05BC7F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34-47B3-BC1C-C579A05BC7F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034-47B3-BC1C-C579A05BC7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Sheet2!$D$93:$D$98</c:f>
              <c:strCache>
                <c:ptCount val="5"/>
                <c:pt idx="0">
                  <c:v>Cash</c:v>
                </c:pt>
                <c:pt idx="1">
                  <c:v>Credit Card</c:v>
                </c:pt>
                <c:pt idx="2">
                  <c:v>Debit Card</c:v>
                </c:pt>
                <c:pt idx="3">
                  <c:v>Net Banking</c:v>
                </c:pt>
                <c:pt idx="4">
                  <c:v>UPI</c:v>
                </c:pt>
              </c:strCache>
            </c:strRef>
          </c:cat>
          <c:val>
            <c:numRef>
              <c:f>Sheet2!$E$93:$E$98</c:f>
              <c:numCache>
                <c:formatCode>General</c:formatCode>
                <c:ptCount val="5"/>
                <c:pt idx="0">
                  <c:v>218426</c:v>
                </c:pt>
                <c:pt idx="1">
                  <c:v>327207</c:v>
                </c:pt>
                <c:pt idx="2">
                  <c:v>367826</c:v>
                </c:pt>
                <c:pt idx="3">
                  <c:v>198079</c:v>
                </c:pt>
                <c:pt idx="4">
                  <c:v>166882</c:v>
                </c:pt>
              </c:numCache>
            </c:numRef>
          </c:val>
          <c:extLst>
            <c:ext xmlns:c16="http://schemas.microsoft.com/office/drawing/2014/chart" uri="{C3380CC4-5D6E-409C-BE32-E72D297353CC}">
              <c16:uniqueId val="{0000000A-F034-47B3-BC1C-C579A05BC7F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16DDB6D3-FAF0-481B-86EC-26519CED2C3F}">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4.png"/><Relationship Id="rId18" Type="http://schemas.openxmlformats.org/officeDocument/2006/relationships/image" Target="../media/image9.svg"/><Relationship Id="rId26" Type="http://schemas.openxmlformats.org/officeDocument/2006/relationships/image" Target="../media/image17.svg"/><Relationship Id="rId3" Type="http://schemas.openxmlformats.org/officeDocument/2006/relationships/chart" Target="../charts/chart2.xml"/><Relationship Id="rId21" Type="http://schemas.openxmlformats.org/officeDocument/2006/relationships/image" Target="../media/image12.png"/><Relationship Id="rId34" Type="http://schemas.openxmlformats.org/officeDocument/2006/relationships/image" Target="../media/image25.svg"/><Relationship Id="rId7" Type="http://schemas.openxmlformats.org/officeDocument/2006/relationships/chart" Target="../charts/chart6.xml"/><Relationship Id="rId12" Type="http://schemas.openxmlformats.org/officeDocument/2006/relationships/image" Target="../media/image3.svg"/><Relationship Id="rId17" Type="http://schemas.openxmlformats.org/officeDocument/2006/relationships/image" Target="../media/image8.png"/><Relationship Id="rId25" Type="http://schemas.openxmlformats.org/officeDocument/2006/relationships/image" Target="../media/image16.png"/><Relationship Id="rId33" Type="http://schemas.openxmlformats.org/officeDocument/2006/relationships/image" Target="../media/image24.png"/><Relationship Id="rId2" Type="http://schemas.microsoft.com/office/2014/relationships/chartEx" Target="../charts/chartEx1.xml"/><Relationship Id="rId16" Type="http://schemas.openxmlformats.org/officeDocument/2006/relationships/image" Target="../media/image7.svg"/><Relationship Id="rId20" Type="http://schemas.openxmlformats.org/officeDocument/2006/relationships/image" Target="../media/image11.svg"/><Relationship Id="rId29" Type="http://schemas.openxmlformats.org/officeDocument/2006/relationships/image" Target="../media/image20.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png"/><Relationship Id="rId24" Type="http://schemas.openxmlformats.org/officeDocument/2006/relationships/image" Target="../media/image15.svg"/><Relationship Id="rId32" Type="http://schemas.openxmlformats.org/officeDocument/2006/relationships/image" Target="../media/image23.svg"/><Relationship Id="rId5" Type="http://schemas.openxmlformats.org/officeDocument/2006/relationships/chart" Target="../charts/chart4.xml"/><Relationship Id="rId15" Type="http://schemas.openxmlformats.org/officeDocument/2006/relationships/image" Target="../media/image6.png"/><Relationship Id="rId23" Type="http://schemas.openxmlformats.org/officeDocument/2006/relationships/image" Target="../media/image14.png"/><Relationship Id="rId28" Type="http://schemas.openxmlformats.org/officeDocument/2006/relationships/image" Target="../media/image19.svg"/><Relationship Id="rId36" Type="http://schemas.openxmlformats.org/officeDocument/2006/relationships/image" Target="../media/image27.svg"/><Relationship Id="rId10" Type="http://schemas.openxmlformats.org/officeDocument/2006/relationships/image" Target="../media/image1.png"/><Relationship Id="rId19" Type="http://schemas.openxmlformats.org/officeDocument/2006/relationships/image" Target="../media/image10.png"/><Relationship Id="rId31" Type="http://schemas.openxmlformats.org/officeDocument/2006/relationships/image" Target="../media/image22.png"/><Relationship Id="rId4" Type="http://schemas.openxmlformats.org/officeDocument/2006/relationships/chart" Target="../charts/chart3.xml"/><Relationship Id="rId9" Type="http://schemas.microsoft.com/office/2014/relationships/chartEx" Target="../charts/chartEx2.xml"/><Relationship Id="rId14" Type="http://schemas.openxmlformats.org/officeDocument/2006/relationships/image" Target="../media/image5.svg"/><Relationship Id="rId22" Type="http://schemas.openxmlformats.org/officeDocument/2006/relationships/image" Target="../media/image13.svg"/><Relationship Id="rId27" Type="http://schemas.openxmlformats.org/officeDocument/2006/relationships/image" Target="../media/image18.png"/><Relationship Id="rId30" Type="http://schemas.openxmlformats.org/officeDocument/2006/relationships/image" Target="../media/image21.svg"/><Relationship Id="rId35" Type="http://schemas.openxmlformats.org/officeDocument/2006/relationships/image" Target="../media/image26.png"/><Relationship Id="rId8"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937260</xdr:colOff>
      <xdr:row>76</xdr:row>
      <xdr:rowOff>167640</xdr:rowOff>
    </xdr:from>
    <xdr:to>
      <xdr:col>8</xdr:col>
      <xdr:colOff>266700</xdr:colOff>
      <xdr:row>91</xdr:row>
      <xdr:rowOff>167640</xdr:rowOff>
    </xdr:to>
    <xdr:graphicFrame macro="">
      <xdr:nvGraphicFramePr>
        <xdr:cNvPr id="5" name="Chart 4">
          <a:extLst>
            <a:ext uri="{FF2B5EF4-FFF2-40B4-BE49-F238E27FC236}">
              <a16:creationId xmlns:a16="http://schemas.microsoft.com/office/drawing/2014/main" id="{7FF3EAB2-E2E4-4849-9C80-1B42FAFAF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838200</xdr:colOff>
      <xdr:row>72</xdr:row>
      <xdr:rowOff>160020</xdr:rowOff>
    </xdr:from>
    <xdr:to>
      <xdr:col>12</xdr:col>
      <xdr:colOff>121920</xdr:colOff>
      <xdr:row>85</xdr:row>
      <xdr:rowOff>137160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0BD6F45-4056-4623-950B-42571D2094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47860" y="13327380"/>
              <a:ext cx="233172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662940</xdr:colOff>
      <xdr:row>99</xdr:row>
      <xdr:rowOff>53340</xdr:rowOff>
    </xdr:from>
    <xdr:to>
      <xdr:col>13</xdr:col>
      <xdr:colOff>213360</xdr:colOff>
      <xdr:row>109</xdr:row>
      <xdr:rowOff>144780</xdr:rowOff>
    </xdr:to>
    <xdr:graphicFrame macro="">
      <xdr:nvGraphicFramePr>
        <xdr:cNvPr id="7" name="Chart 6">
          <a:extLst>
            <a:ext uri="{FF2B5EF4-FFF2-40B4-BE49-F238E27FC236}">
              <a16:creationId xmlns:a16="http://schemas.microsoft.com/office/drawing/2014/main" id="{77090E8F-3666-4A48-9380-4AF2B9088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914400</xdr:colOff>
      <xdr:row>0</xdr:row>
      <xdr:rowOff>175260</xdr:rowOff>
    </xdr:from>
    <xdr:to>
      <xdr:col>14</xdr:col>
      <xdr:colOff>1211580</xdr:colOff>
      <xdr:row>48</xdr:row>
      <xdr:rowOff>7620</xdr:rowOff>
    </xdr:to>
    <xdr:sp macro="" textlink="">
      <xdr:nvSpPr>
        <xdr:cNvPr id="59" name="Rectangle 58">
          <a:extLst>
            <a:ext uri="{FF2B5EF4-FFF2-40B4-BE49-F238E27FC236}">
              <a16:creationId xmlns:a16="http://schemas.microsoft.com/office/drawing/2014/main" id="{B2CDB8DF-69CD-416D-96D9-FDEE2D411EC9}"/>
            </a:ext>
          </a:extLst>
        </xdr:cNvPr>
        <xdr:cNvSpPr/>
      </xdr:nvSpPr>
      <xdr:spPr>
        <a:xfrm>
          <a:off x="914400" y="175260"/>
          <a:ext cx="12755880" cy="861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624840</xdr:colOff>
      <xdr:row>1</xdr:row>
      <xdr:rowOff>68580</xdr:rowOff>
    </xdr:from>
    <xdr:to>
      <xdr:col>14</xdr:col>
      <xdr:colOff>601980</xdr:colOff>
      <xdr:row>6</xdr:row>
      <xdr:rowOff>167640</xdr:rowOff>
    </xdr:to>
    <xdr:sp macro="" textlink="">
      <xdr:nvSpPr>
        <xdr:cNvPr id="22" name="Rectangle: Rounded Corners 21">
          <a:extLst>
            <a:ext uri="{FF2B5EF4-FFF2-40B4-BE49-F238E27FC236}">
              <a16:creationId xmlns:a16="http://schemas.microsoft.com/office/drawing/2014/main" id="{F0D6F2AE-70C4-43B1-B808-92C7E871DDD8}"/>
            </a:ext>
          </a:extLst>
        </xdr:cNvPr>
        <xdr:cNvSpPr/>
      </xdr:nvSpPr>
      <xdr:spPr>
        <a:xfrm>
          <a:off x="5570220" y="251460"/>
          <a:ext cx="7490460" cy="1013460"/>
        </a:xfrm>
        <a:prstGeom prst="roundRect">
          <a:avLst/>
        </a:prstGeom>
        <a:gradFill flip="none" rotWithShape="1">
          <a:gsLst>
            <a:gs pos="0">
              <a:schemeClr val="accent1">
                <a:lumMod val="40000"/>
                <a:lumOff val="60000"/>
              </a:schemeClr>
            </a:gs>
            <a:gs pos="50000">
              <a:schemeClr val="accent5">
                <a:shade val="67500"/>
                <a:satMod val="115000"/>
              </a:schemeClr>
            </a:gs>
            <a:gs pos="100000">
              <a:schemeClr val="accent5">
                <a:shade val="100000"/>
                <a:satMod val="115000"/>
              </a:schemeClr>
            </a:gs>
          </a:gsLst>
          <a:lin ang="0" scaled="1"/>
          <a:tileRect/>
        </a:gradFill>
        <a:ln w="57150">
          <a:solidFill>
            <a:schemeClr val="tx1">
              <a:lumMod val="65000"/>
              <a:lumOff val="35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3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IN" sz="36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IN" sz="2800" b="1" cap="none" spc="0">
            <a:ln w="10160">
              <a:solidFill>
                <a:schemeClr val="accent5"/>
              </a:solidFill>
              <a:prstDash val="solid"/>
            </a:ln>
            <a:solidFill>
              <a:sysClr val="windowText" lastClr="000000"/>
            </a:solidFill>
            <a:effectLst>
              <a:outerShdw blurRad="38100" dist="22860" dir="5400000" algn="tl" rotWithShape="0">
                <a:srgbClr val="000000">
                  <a:alpha val="30000"/>
                </a:srgbClr>
              </a:outerShdw>
            </a:effectLst>
          </a:endParaRPr>
        </a:p>
        <a:p>
          <a:pPr algn="l"/>
          <a:r>
            <a:rPr lang="en-IN" sz="1100" b="1">
              <a:solidFill>
                <a:schemeClr val="lt1"/>
              </a:solidFill>
              <a:effectLst>
                <a:outerShdw blurRad="38100" dist="22860" dir="5400000" algn="tl" rotWithShape="0">
                  <a:srgbClr val="000000">
                    <a:alpha val="30000"/>
                  </a:srgbClr>
                </a:outerShdw>
              </a:effectLst>
              <a:latin typeface="+mn-lt"/>
              <a:ea typeface="+mn-ea"/>
              <a:cs typeface="+mn-cs"/>
            </a:rPr>
            <a:t>                        </a:t>
          </a:r>
          <a:endParaRPr lang="en-IN" sz="2800" b="1" cap="none" spc="0">
            <a:ln w="10160">
              <a:solidFill>
                <a:schemeClr val="accent5"/>
              </a:solidFill>
              <a:prstDash val="solid"/>
            </a:ln>
            <a:solidFill>
              <a:sysClr val="windowText" lastClr="000000"/>
            </a:solidFill>
            <a:effectLst>
              <a:outerShdw blurRad="38100" dist="22860" dir="5400000" algn="tl" rotWithShape="0">
                <a:srgbClr val="000000">
                  <a:alpha val="30000"/>
                </a:srgbClr>
              </a:outerShdw>
            </a:effectLst>
          </a:endParaRPr>
        </a:p>
      </xdr:txBody>
    </xdr:sp>
    <xdr:clientData/>
  </xdr:twoCellAnchor>
  <xdr:twoCellAnchor>
    <xdr:from>
      <xdr:col>2</xdr:col>
      <xdr:colOff>762000</xdr:colOff>
      <xdr:row>12</xdr:row>
      <xdr:rowOff>160020</xdr:rowOff>
    </xdr:from>
    <xdr:to>
      <xdr:col>6</xdr:col>
      <xdr:colOff>845820</xdr:colOff>
      <xdr:row>30</xdr:row>
      <xdr:rowOff>72180</xdr:rowOff>
    </xdr:to>
    <xdr:sp macro="" textlink="">
      <xdr:nvSpPr>
        <xdr:cNvPr id="15" name="Flowchart: Process 14">
          <a:extLst>
            <a:ext uri="{FF2B5EF4-FFF2-40B4-BE49-F238E27FC236}">
              <a16:creationId xmlns:a16="http://schemas.microsoft.com/office/drawing/2014/main" id="{B1413940-1756-46E6-B5A3-917071B33FB3}"/>
            </a:ext>
          </a:extLst>
        </xdr:cNvPr>
        <xdr:cNvSpPr/>
      </xdr:nvSpPr>
      <xdr:spPr>
        <a:xfrm>
          <a:off x="2644140" y="2354580"/>
          <a:ext cx="4168140" cy="32040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108000" rtlCol="0" anchor="t" anchorCtr="0"/>
        <a:lstStyle/>
        <a:p>
          <a:pPr lvl="0" algn="l"/>
          <a:r>
            <a:rPr lang="en-IN" sz="1100"/>
            <a:t> </a:t>
          </a:r>
          <a:r>
            <a:rPr lang="en-IN" sz="1100" baseline="0"/>
            <a:t>           </a:t>
          </a:r>
          <a:r>
            <a:rPr lang="en-IN" sz="1600" b="1" u="none" cap="none" spc="0" baseline="0">
              <a:ln w="0"/>
              <a:solidFill>
                <a:schemeClr val="tx1"/>
              </a:solidFill>
              <a:effectLst>
                <a:outerShdw blurRad="38100" dist="19050" dir="2700000" algn="tl" rotWithShape="0">
                  <a:schemeClr val="dk1">
                    <a:alpha val="40000"/>
                  </a:schemeClr>
                </a:outerShdw>
              </a:effectLst>
              <a:latin typeface="+mn-lt"/>
            </a:rPr>
            <a:t>Profit </a:t>
          </a:r>
          <a:endParaRPr lang="en-IN" sz="1400" b="1" u="none">
            <a:solidFill>
              <a:schemeClr val="tx1"/>
            </a:solidFill>
            <a:latin typeface="+mn-lt"/>
          </a:endParaRPr>
        </a:p>
      </xdr:txBody>
    </xdr:sp>
    <xdr:clientData/>
  </xdr:twoCellAnchor>
  <xdr:twoCellAnchor>
    <xdr:from>
      <xdr:col>7</xdr:col>
      <xdr:colOff>60960</xdr:colOff>
      <xdr:row>12</xdr:row>
      <xdr:rowOff>152400</xdr:rowOff>
    </xdr:from>
    <xdr:to>
      <xdr:col>9</xdr:col>
      <xdr:colOff>586740</xdr:colOff>
      <xdr:row>30</xdr:row>
      <xdr:rowOff>60960</xdr:rowOff>
    </xdr:to>
    <xdr:sp macro="" textlink="">
      <xdr:nvSpPr>
        <xdr:cNvPr id="30" name="Rectangle 29">
          <a:extLst>
            <a:ext uri="{FF2B5EF4-FFF2-40B4-BE49-F238E27FC236}">
              <a16:creationId xmlns:a16="http://schemas.microsoft.com/office/drawing/2014/main" id="{0936F862-357F-41D9-9A39-55ABD11F9678}"/>
            </a:ext>
          </a:extLst>
        </xdr:cNvPr>
        <xdr:cNvSpPr/>
      </xdr:nvSpPr>
      <xdr:spPr>
        <a:xfrm>
          <a:off x="6888480" y="2346960"/>
          <a:ext cx="2407920" cy="3200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44000" tIns="72000" rIns="360000" rtlCol="0" anchor="t"/>
        <a:lstStyle/>
        <a:p>
          <a:pPr algn="l"/>
          <a:r>
            <a:rPr lang="en-IN" sz="1100"/>
            <a:t>           </a:t>
          </a:r>
          <a:r>
            <a:rPr lang="en-IN" sz="1600" b="1">
              <a:solidFill>
                <a:sysClr val="windowText" lastClr="000000"/>
              </a:solidFill>
              <a:latin typeface="+mn-lt"/>
            </a:rPr>
            <a:t>Products</a:t>
          </a:r>
        </a:p>
      </xdr:txBody>
    </xdr:sp>
    <xdr:clientData/>
  </xdr:twoCellAnchor>
  <xdr:twoCellAnchor>
    <xdr:from>
      <xdr:col>7</xdr:col>
      <xdr:colOff>114300</xdr:colOff>
      <xdr:row>14</xdr:row>
      <xdr:rowOff>167640</xdr:rowOff>
    </xdr:from>
    <xdr:to>
      <xdr:col>9</xdr:col>
      <xdr:colOff>464820</xdr:colOff>
      <xdr:row>29</xdr:row>
      <xdr:rowOff>167640</xdr:rowOff>
    </xdr:to>
    <xdr:graphicFrame macro="">
      <xdr:nvGraphicFramePr>
        <xdr:cNvPr id="23" name="Chart 22">
          <a:extLst>
            <a:ext uri="{FF2B5EF4-FFF2-40B4-BE49-F238E27FC236}">
              <a16:creationId xmlns:a16="http://schemas.microsoft.com/office/drawing/2014/main" id="{DBC6B6B9-65FD-47B4-A094-8B38F3574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632460</xdr:colOff>
      <xdr:row>12</xdr:row>
      <xdr:rowOff>144780</xdr:rowOff>
    </xdr:from>
    <xdr:to>
      <xdr:col>11</xdr:col>
      <xdr:colOff>388620</xdr:colOff>
      <xdr:row>30</xdr:row>
      <xdr:rowOff>45720</xdr:rowOff>
    </xdr:to>
    <xdr:sp macro="" textlink="">
      <xdr:nvSpPr>
        <xdr:cNvPr id="35" name="Rectangle 34">
          <a:extLst>
            <a:ext uri="{FF2B5EF4-FFF2-40B4-BE49-F238E27FC236}">
              <a16:creationId xmlns:a16="http://schemas.microsoft.com/office/drawing/2014/main" id="{DF1E2785-8C10-4EDE-AC6A-32ECB415CA40}"/>
            </a:ext>
          </a:extLst>
        </xdr:cNvPr>
        <xdr:cNvSpPr/>
      </xdr:nvSpPr>
      <xdr:spPr>
        <a:xfrm>
          <a:off x="9342120" y="2339340"/>
          <a:ext cx="1798320" cy="31927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108000" rtlCol="0" anchor="t"/>
        <a:lstStyle/>
        <a:p>
          <a:pPr algn="l"/>
          <a:r>
            <a:rPr lang="en-IN" sz="1100"/>
            <a:t>            </a:t>
          </a:r>
          <a:r>
            <a:rPr lang="en-IN" sz="1600" b="1">
              <a:solidFill>
                <a:sysClr val="windowText" lastClr="000000"/>
              </a:solidFill>
            </a:rPr>
            <a:t>Feedback</a:t>
          </a:r>
          <a:r>
            <a:rPr lang="en-IN" sz="1600" b="1" baseline="0">
              <a:solidFill>
                <a:sysClr val="windowText" lastClr="000000"/>
              </a:solidFill>
            </a:rPr>
            <a:t> %</a:t>
          </a:r>
          <a:endParaRPr lang="en-IN" sz="1600" b="1">
            <a:solidFill>
              <a:sysClr val="windowText" lastClr="000000"/>
            </a:solidFill>
            <a:latin typeface="+mn-lt"/>
          </a:endParaRPr>
        </a:p>
      </xdr:txBody>
    </xdr:sp>
    <xdr:clientData/>
  </xdr:twoCellAnchor>
  <xdr:twoCellAnchor>
    <xdr:from>
      <xdr:col>9</xdr:col>
      <xdr:colOff>685800</xdr:colOff>
      <xdr:row>15</xdr:row>
      <xdr:rowOff>15240</xdr:rowOff>
    </xdr:from>
    <xdr:to>
      <xdr:col>11</xdr:col>
      <xdr:colOff>327660</xdr:colOff>
      <xdr:row>29</xdr:row>
      <xdr:rowOff>144780</xdr:rowOff>
    </xdr:to>
    <xdr:graphicFrame macro="">
      <xdr:nvGraphicFramePr>
        <xdr:cNvPr id="11" name="Chart 10">
          <a:extLst>
            <a:ext uri="{FF2B5EF4-FFF2-40B4-BE49-F238E27FC236}">
              <a16:creationId xmlns:a16="http://schemas.microsoft.com/office/drawing/2014/main" id="{A69BC580-7A84-4C8B-B6E6-B0F6429A2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822960</xdr:colOff>
      <xdr:row>15</xdr:row>
      <xdr:rowOff>45720</xdr:rowOff>
    </xdr:from>
    <xdr:to>
      <xdr:col>6</xdr:col>
      <xdr:colOff>777240</xdr:colOff>
      <xdr:row>29</xdr:row>
      <xdr:rowOff>175260</xdr:rowOff>
    </xdr:to>
    <xdr:graphicFrame macro="">
      <xdr:nvGraphicFramePr>
        <xdr:cNvPr id="8" name="Chart 7">
          <a:extLst>
            <a:ext uri="{FF2B5EF4-FFF2-40B4-BE49-F238E27FC236}">
              <a16:creationId xmlns:a16="http://schemas.microsoft.com/office/drawing/2014/main" id="{07710CE8-388A-454B-93AD-2E5EE971C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762000</xdr:colOff>
      <xdr:row>30</xdr:row>
      <xdr:rowOff>160020</xdr:rowOff>
    </xdr:from>
    <xdr:to>
      <xdr:col>9</xdr:col>
      <xdr:colOff>53340</xdr:colOff>
      <xdr:row>47</xdr:row>
      <xdr:rowOff>45720</xdr:rowOff>
    </xdr:to>
    <xdr:sp macro="" textlink="">
      <xdr:nvSpPr>
        <xdr:cNvPr id="38" name="Flowchart: Process 37">
          <a:extLst>
            <a:ext uri="{FF2B5EF4-FFF2-40B4-BE49-F238E27FC236}">
              <a16:creationId xmlns:a16="http://schemas.microsoft.com/office/drawing/2014/main" id="{4CAB790C-EFBF-413E-BD27-7C6EF533DABB}"/>
            </a:ext>
          </a:extLst>
        </xdr:cNvPr>
        <xdr:cNvSpPr/>
      </xdr:nvSpPr>
      <xdr:spPr>
        <a:xfrm>
          <a:off x="2644140" y="5646420"/>
          <a:ext cx="6118860" cy="299466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144000" rtlCol="0" anchor="t" anchorCtr="0"/>
        <a:lstStyle/>
        <a:p>
          <a:pPr lvl="0" algn="l"/>
          <a:r>
            <a:rPr lang="en-IN" sz="1600" b="1">
              <a:solidFill>
                <a:sysClr val="windowText" lastClr="000000"/>
              </a:solidFill>
            </a:rPr>
            <a:t> </a:t>
          </a:r>
          <a:r>
            <a:rPr lang="en-IN" sz="1600" b="1" baseline="0">
              <a:solidFill>
                <a:sysClr val="windowText" lastClr="000000"/>
              </a:solidFill>
            </a:rPr>
            <a:t>       Sales Par Month</a:t>
          </a:r>
          <a:endParaRPr lang="en-IN" sz="1600" b="1" u="none">
            <a:solidFill>
              <a:sysClr val="windowText" lastClr="000000"/>
            </a:solidFill>
            <a:latin typeface="+mn-lt"/>
          </a:endParaRPr>
        </a:p>
      </xdr:txBody>
    </xdr:sp>
    <xdr:clientData/>
  </xdr:twoCellAnchor>
  <xdr:twoCellAnchor>
    <xdr:from>
      <xdr:col>2</xdr:col>
      <xdr:colOff>853440</xdr:colOff>
      <xdr:row>33</xdr:row>
      <xdr:rowOff>53340</xdr:rowOff>
    </xdr:from>
    <xdr:to>
      <xdr:col>8</xdr:col>
      <xdr:colOff>792480</xdr:colOff>
      <xdr:row>46</xdr:row>
      <xdr:rowOff>106680</xdr:rowOff>
    </xdr:to>
    <xdr:graphicFrame macro="">
      <xdr:nvGraphicFramePr>
        <xdr:cNvPr id="41" name="Chart 40">
          <a:extLst>
            <a:ext uri="{FF2B5EF4-FFF2-40B4-BE49-F238E27FC236}">
              <a16:creationId xmlns:a16="http://schemas.microsoft.com/office/drawing/2014/main" id="{C09E332C-8E32-43ED-87D9-A9733D863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160020</xdr:colOff>
      <xdr:row>30</xdr:row>
      <xdr:rowOff>152400</xdr:rowOff>
    </xdr:from>
    <xdr:to>
      <xdr:col>11</xdr:col>
      <xdr:colOff>403860</xdr:colOff>
      <xdr:row>47</xdr:row>
      <xdr:rowOff>38100</xdr:rowOff>
    </xdr:to>
    <xdr:sp macro="" textlink="">
      <xdr:nvSpPr>
        <xdr:cNvPr id="46" name="Rectangle 45">
          <a:extLst>
            <a:ext uri="{FF2B5EF4-FFF2-40B4-BE49-F238E27FC236}">
              <a16:creationId xmlns:a16="http://schemas.microsoft.com/office/drawing/2014/main" id="{8057BC57-4308-46C0-86E6-2FA4143B083A}"/>
            </a:ext>
          </a:extLst>
        </xdr:cNvPr>
        <xdr:cNvSpPr/>
      </xdr:nvSpPr>
      <xdr:spPr>
        <a:xfrm>
          <a:off x="8869680" y="5638800"/>
          <a:ext cx="2286000" cy="29946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108000" rtlCol="0" anchor="t"/>
        <a:lstStyle/>
        <a:p>
          <a:pPr algn="l"/>
          <a:r>
            <a:rPr lang="en-IN" sz="1100"/>
            <a:t>               </a:t>
          </a:r>
          <a:r>
            <a:rPr lang="en-IN" sz="1600" b="1">
              <a:solidFill>
                <a:sysClr val="windowText" lastClr="000000"/>
              </a:solidFill>
            </a:rPr>
            <a:t>Payment Mode   </a:t>
          </a:r>
          <a:endParaRPr lang="en-IN" sz="1600" b="1">
            <a:solidFill>
              <a:sysClr val="windowText" lastClr="000000"/>
            </a:solidFill>
            <a:latin typeface="+mn-lt"/>
          </a:endParaRPr>
        </a:p>
      </xdr:txBody>
    </xdr:sp>
    <xdr:clientData/>
  </xdr:twoCellAnchor>
  <xdr:twoCellAnchor>
    <xdr:from>
      <xdr:col>9</xdr:col>
      <xdr:colOff>274320</xdr:colOff>
      <xdr:row>33</xdr:row>
      <xdr:rowOff>53340</xdr:rowOff>
    </xdr:from>
    <xdr:to>
      <xdr:col>11</xdr:col>
      <xdr:colOff>289560</xdr:colOff>
      <xdr:row>46</xdr:row>
      <xdr:rowOff>114300</xdr:rowOff>
    </xdr:to>
    <xdr:graphicFrame macro="">
      <xdr:nvGraphicFramePr>
        <xdr:cNvPr id="21" name="Chart 20">
          <a:extLst>
            <a:ext uri="{FF2B5EF4-FFF2-40B4-BE49-F238E27FC236}">
              <a16:creationId xmlns:a16="http://schemas.microsoft.com/office/drawing/2014/main" id="{4E78C9A3-C6F1-46A9-A5B0-34AE12D6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236220</xdr:colOff>
      <xdr:row>1</xdr:row>
      <xdr:rowOff>76200</xdr:rowOff>
    </xdr:from>
    <xdr:to>
      <xdr:col>5</xdr:col>
      <xdr:colOff>495300</xdr:colOff>
      <xdr:row>6</xdr:row>
      <xdr:rowOff>152400</xdr:rowOff>
    </xdr:to>
    <xdr:sp macro="" textlink="">
      <xdr:nvSpPr>
        <xdr:cNvPr id="13" name="Rectangle: Rounded Corners 12">
          <a:extLst>
            <a:ext uri="{FF2B5EF4-FFF2-40B4-BE49-F238E27FC236}">
              <a16:creationId xmlns:a16="http://schemas.microsoft.com/office/drawing/2014/main" id="{8199B39C-95A7-49D5-AF90-F1530DB43AB6}"/>
            </a:ext>
          </a:extLst>
        </xdr:cNvPr>
        <xdr:cNvSpPr/>
      </xdr:nvSpPr>
      <xdr:spPr>
        <a:xfrm>
          <a:off x="1257300" y="259080"/>
          <a:ext cx="4183380" cy="990600"/>
        </a:xfrm>
        <a:prstGeom prst="roundRect">
          <a:avLst/>
        </a:prstGeom>
        <a:gradFill flip="none" rotWithShape="1">
          <a:gsLst>
            <a:gs pos="90482">
              <a:schemeClr val="accent1">
                <a:lumMod val="40000"/>
                <a:lumOff val="60000"/>
              </a:schemeClr>
            </a:gs>
            <a:gs pos="80964">
              <a:srgbClr val="4C92D1"/>
            </a:gs>
            <a:gs pos="63250">
              <a:srgbClr val="4789C4"/>
            </a:gs>
            <a:gs pos="39450">
              <a:srgbClr val="3E79AE"/>
            </a:gs>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w="57150">
          <a:solidFill>
            <a:schemeClr val="tx1">
              <a:lumMod val="65000"/>
              <a:lumOff val="35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3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IN" sz="36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IN" sz="2800" b="1" cap="none" spc="0">
              <a:ln w="10160">
                <a:solidFill>
                  <a:schemeClr val="accent5"/>
                </a:solidFill>
                <a:prstDash val="solid"/>
              </a:ln>
              <a:solidFill>
                <a:sysClr val="windowText" lastClr="000000"/>
              </a:solidFill>
              <a:effectLst>
                <a:outerShdw blurRad="38100" dist="22860" dir="5400000" algn="tl" rotWithShape="0">
                  <a:srgbClr val="000000">
                    <a:alpha val="30000"/>
                  </a:srgbClr>
                </a:outerShdw>
              </a:effectLst>
            </a:rPr>
            <a:t>Sales Dashbord </a:t>
          </a:r>
        </a:p>
        <a:p>
          <a:pPr algn="l"/>
          <a:r>
            <a:rPr lang="en-IN" sz="1100" b="1">
              <a:solidFill>
                <a:schemeClr val="lt1"/>
              </a:solidFill>
              <a:effectLst>
                <a:outerShdw blurRad="38100" dist="22860" dir="5400000" algn="tl" rotWithShape="0">
                  <a:srgbClr val="000000">
                    <a:alpha val="30000"/>
                  </a:srgbClr>
                </a:outerShdw>
              </a:effectLst>
              <a:latin typeface="+mn-lt"/>
              <a:ea typeface="+mn-ea"/>
              <a:cs typeface="+mn-cs"/>
            </a:rPr>
            <a:t>                        </a:t>
          </a:r>
          <a:r>
            <a:rPr lang="en-IN" sz="1100" b="1">
              <a:solidFill>
                <a:schemeClr val="accent1">
                  <a:lumMod val="50000"/>
                </a:schemeClr>
              </a:solidFill>
              <a:effectLst>
                <a:outerShdw blurRad="38100" dist="22860" dir="5400000" algn="tl" rotWithShape="0">
                  <a:srgbClr val="000000">
                    <a:alpha val="30000"/>
                  </a:srgbClr>
                </a:outerShdw>
              </a:effectLst>
              <a:latin typeface="+mn-lt"/>
              <a:ea typeface="+mn-ea"/>
              <a:cs typeface="+mn-cs"/>
            </a:rPr>
            <a:t>Shuper Market</a:t>
          </a:r>
          <a:r>
            <a:rPr lang="en-IN" sz="1100" b="1" baseline="0">
              <a:solidFill>
                <a:schemeClr val="accent1">
                  <a:lumMod val="50000"/>
                </a:schemeClr>
              </a:solidFill>
              <a:effectLst>
                <a:outerShdw blurRad="38100" dist="22860" dir="5400000" algn="tl" rotWithShape="0">
                  <a:srgbClr val="000000">
                    <a:alpha val="30000"/>
                  </a:srgbClr>
                </a:outerShdw>
              </a:effectLst>
              <a:latin typeface="+mn-lt"/>
              <a:ea typeface="+mn-ea"/>
              <a:cs typeface="+mn-cs"/>
            </a:rPr>
            <a:t> Shop</a:t>
          </a:r>
          <a:endParaRPr lang="en-IN" sz="1100" b="1" cap="none" spc="0">
            <a:ln w="10160">
              <a:solidFill>
                <a:schemeClr val="accent5"/>
              </a:solidFill>
              <a:prstDash val="solid"/>
            </a:ln>
            <a:solidFill>
              <a:schemeClr val="accent1">
                <a:lumMod val="50000"/>
              </a:schemeClr>
            </a:solidFill>
            <a:effectLst>
              <a:outerShdw blurRad="38100" dist="22860" dir="5400000" algn="tl" rotWithShape="0">
                <a:srgbClr val="000000">
                  <a:alpha val="30000"/>
                </a:srgbClr>
              </a:outerShdw>
            </a:effectLst>
          </a:endParaRPr>
        </a:p>
        <a:p>
          <a:pPr algn="l"/>
          <a:endParaRPr lang="en-IN" sz="2800" b="1" cap="none" spc="0">
            <a:ln w="10160">
              <a:solidFill>
                <a:schemeClr val="accent5"/>
              </a:solidFill>
              <a:prstDash val="solid"/>
            </a:ln>
            <a:solidFill>
              <a:sysClr val="windowText" lastClr="000000"/>
            </a:solidFill>
            <a:effectLst>
              <a:outerShdw blurRad="38100" dist="22860" dir="5400000" algn="tl" rotWithShape="0">
                <a:srgbClr val="000000">
                  <a:alpha val="30000"/>
                </a:srgbClr>
              </a:outerShdw>
            </a:effectLst>
          </a:endParaRPr>
        </a:p>
      </xdr:txBody>
    </xdr:sp>
    <xdr:clientData/>
  </xdr:twoCellAnchor>
  <xdr:twoCellAnchor>
    <xdr:from>
      <xdr:col>2</xdr:col>
      <xdr:colOff>769620</xdr:colOff>
      <xdr:row>7</xdr:row>
      <xdr:rowOff>99060</xdr:rowOff>
    </xdr:from>
    <xdr:to>
      <xdr:col>5</xdr:col>
      <xdr:colOff>640080</xdr:colOff>
      <xdr:row>12</xdr:row>
      <xdr:rowOff>60960</xdr:rowOff>
    </xdr:to>
    <xdr:sp macro="" textlink="">
      <xdr:nvSpPr>
        <xdr:cNvPr id="2" name="Rectangle: Rounded Corners 1">
          <a:extLst>
            <a:ext uri="{FF2B5EF4-FFF2-40B4-BE49-F238E27FC236}">
              <a16:creationId xmlns:a16="http://schemas.microsoft.com/office/drawing/2014/main" id="{07D6A18C-B3D0-4204-ABC6-5B8B8F12D333}"/>
            </a:ext>
          </a:extLst>
        </xdr:cNvPr>
        <xdr:cNvSpPr/>
      </xdr:nvSpPr>
      <xdr:spPr>
        <a:xfrm>
          <a:off x="2651760" y="1379220"/>
          <a:ext cx="2933700"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92000" rtlCol="0" anchor="t"/>
        <a:lstStyle/>
        <a:p>
          <a:pPr algn="ctr"/>
          <a:r>
            <a:rPr lang="en-IN" sz="1400" b="1" i="0" u="none" strike="noStrike">
              <a:solidFill>
                <a:sysClr val="windowText" lastClr="000000"/>
              </a:solidFill>
              <a:effectLst/>
              <a:latin typeface="+mn-lt"/>
              <a:ea typeface="+mn-ea"/>
              <a:cs typeface="+mn-cs"/>
            </a:rPr>
            <a:t>Average Order Value</a:t>
          </a:r>
        </a:p>
        <a:p>
          <a:pPr algn="ctr"/>
          <a:r>
            <a:rPr lang="en-IN" sz="2000" b="1" i="0" u="none" strike="noStrike">
              <a:solidFill>
                <a:sysClr val="windowText" lastClr="000000"/>
              </a:solidFill>
              <a:effectLst/>
              <a:latin typeface="+mn-lt"/>
              <a:ea typeface="+mn-ea"/>
              <a:cs typeface="+mn-cs"/>
            </a:rPr>
            <a:t>1278420</a:t>
          </a:r>
          <a:r>
            <a:rPr lang="en-IN" sz="2000" b="1">
              <a:solidFill>
                <a:sysClr val="windowText" lastClr="000000"/>
              </a:solidFill>
            </a:rPr>
            <a:t>  </a:t>
          </a:r>
        </a:p>
      </xdr:txBody>
    </xdr:sp>
    <xdr:clientData/>
  </xdr:twoCellAnchor>
  <xdr:twoCellAnchor>
    <xdr:from>
      <xdr:col>5</xdr:col>
      <xdr:colOff>746760</xdr:colOff>
      <xdr:row>7</xdr:row>
      <xdr:rowOff>83820</xdr:rowOff>
    </xdr:from>
    <xdr:to>
      <xdr:col>8</xdr:col>
      <xdr:colOff>487680</xdr:colOff>
      <xdr:row>12</xdr:row>
      <xdr:rowOff>45720</xdr:rowOff>
    </xdr:to>
    <xdr:sp macro="" textlink="">
      <xdr:nvSpPr>
        <xdr:cNvPr id="31" name="Rectangle: Rounded Corners 30">
          <a:extLst>
            <a:ext uri="{FF2B5EF4-FFF2-40B4-BE49-F238E27FC236}">
              <a16:creationId xmlns:a16="http://schemas.microsoft.com/office/drawing/2014/main" id="{6092EC9E-5465-469B-BC2A-0597CBC5ACAA}"/>
            </a:ext>
          </a:extLst>
        </xdr:cNvPr>
        <xdr:cNvSpPr/>
      </xdr:nvSpPr>
      <xdr:spPr>
        <a:xfrm>
          <a:off x="5692140" y="1363980"/>
          <a:ext cx="2644140"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92000" rIns="180000" rtlCol="0" anchor="t"/>
        <a:lstStyle/>
        <a:p>
          <a:pPr algn="ctr"/>
          <a:r>
            <a:rPr lang="en-IN" sz="1400" b="1">
              <a:solidFill>
                <a:sysClr val="windowText" lastClr="000000"/>
              </a:solidFill>
            </a:rPr>
            <a:t>Total</a:t>
          </a:r>
          <a:r>
            <a:rPr lang="en-IN" sz="1400" b="1" baseline="0">
              <a:solidFill>
                <a:sysClr val="windowText" lastClr="000000"/>
              </a:solidFill>
            </a:rPr>
            <a:t> Sales</a:t>
          </a:r>
        </a:p>
        <a:p>
          <a:pPr algn="ctr"/>
          <a:r>
            <a:rPr lang="en-IN" sz="1600" b="1" i="0" u="none" strike="noStrike">
              <a:solidFill>
                <a:sysClr val="windowText" lastClr="000000"/>
              </a:solidFill>
              <a:effectLst/>
              <a:latin typeface="+mn-lt"/>
              <a:ea typeface="+mn-ea"/>
              <a:cs typeface="+mn-cs"/>
            </a:rPr>
            <a:t>$</a:t>
          </a:r>
          <a:r>
            <a:rPr lang="en-IN" sz="2000" b="1" i="0" u="none" strike="noStrike">
              <a:solidFill>
                <a:sysClr val="windowText" lastClr="000000"/>
              </a:solidFill>
              <a:effectLst/>
              <a:latin typeface="+mn-lt"/>
              <a:ea typeface="+mn-ea"/>
              <a:cs typeface="+mn-cs"/>
            </a:rPr>
            <a:t>12,78,420.00</a:t>
          </a:r>
          <a:r>
            <a:rPr lang="en-IN" sz="1600" b="1"/>
            <a:t> </a:t>
          </a:r>
          <a:endParaRPr lang="en-IN" sz="1600" b="1" baseline="0"/>
        </a:p>
      </xdr:txBody>
    </xdr:sp>
    <xdr:clientData/>
  </xdr:twoCellAnchor>
  <xdr:twoCellAnchor>
    <xdr:from>
      <xdr:col>8</xdr:col>
      <xdr:colOff>594360</xdr:colOff>
      <xdr:row>7</xdr:row>
      <xdr:rowOff>83820</xdr:rowOff>
    </xdr:from>
    <xdr:to>
      <xdr:col>11</xdr:col>
      <xdr:colOff>396240</xdr:colOff>
      <xdr:row>12</xdr:row>
      <xdr:rowOff>45720</xdr:rowOff>
    </xdr:to>
    <xdr:sp macro="" textlink="">
      <xdr:nvSpPr>
        <xdr:cNvPr id="36" name="Rectangle: Rounded Corners 35">
          <a:extLst>
            <a:ext uri="{FF2B5EF4-FFF2-40B4-BE49-F238E27FC236}">
              <a16:creationId xmlns:a16="http://schemas.microsoft.com/office/drawing/2014/main" id="{ED4A452A-DF8F-4E9A-9EDF-D7DA5C1A2152}"/>
            </a:ext>
          </a:extLst>
        </xdr:cNvPr>
        <xdr:cNvSpPr/>
      </xdr:nvSpPr>
      <xdr:spPr>
        <a:xfrm>
          <a:off x="8442960" y="1363980"/>
          <a:ext cx="2705100"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04000" tIns="108000" rtlCol="0" anchor="t"/>
        <a:lstStyle/>
        <a:p>
          <a:pPr algn="ctr"/>
          <a:r>
            <a:rPr lang="en-IN" sz="1400" b="1">
              <a:solidFill>
                <a:sysClr val="windowText" lastClr="000000"/>
              </a:solidFill>
            </a:rPr>
            <a:t>Total Profit</a:t>
          </a:r>
        </a:p>
        <a:p>
          <a:pPr algn="ctr"/>
          <a:r>
            <a:rPr lang="en-IN" sz="1800" b="1" i="0" u="none" strike="noStrike">
              <a:solidFill>
                <a:sysClr val="windowText" lastClr="000000"/>
              </a:solidFill>
              <a:effectLst/>
              <a:latin typeface="+mn-lt"/>
              <a:ea typeface="+mn-ea"/>
              <a:cs typeface="+mn-cs"/>
            </a:rPr>
            <a:t>$</a:t>
          </a:r>
          <a:r>
            <a:rPr lang="en-IN" sz="2000" b="1" i="0" u="none" strike="noStrike">
              <a:solidFill>
                <a:sysClr val="windowText" lastClr="000000"/>
              </a:solidFill>
              <a:effectLst/>
              <a:latin typeface="+mn-lt"/>
              <a:ea typeface="+mn-ea"/>
              <a:cs typeface="+mn-cs"/>
            </a:rPr>
            <a:t>2,55,783.00</a:t>
          </a:r>
          <a:r>
            <a:rPr lang="en-IN" sz="1800" b="1">
              <a:solidFill>
                <a:sysClr val="windowText" lastClr="000000"/>
              </a:solidFill>
            </a:rPr>
            <a:t> </a:t>
          </a:r>
        </a:p>
      </xdr:txBody>
    </xdr:sp>
    <xdr:clientData/>
  </xdr:twoCellAnchor>
  <xdr:twoCellAnchor>
    <xdr:from>
      <xdr:col>11</xdr:col>
      <xdr:colOff>480060</xdr:colOff>
      <xdr:row>31</xdr:row>
      <xdr:rowOff>114300</xdr:rowOff>
    </xdr:from>
    <xdr:to>
      <xdr:col>14</xdr:col>
      <xdr:colOff>762000</xdr:colOff>
      <xdr:row>47</xdr:row>
      <xdr:rowOff>30480</xdr:rowOff>
    </xdr:to>
    <xdr:sp macro="" textlink="">
      <xdr:nvSpPr>
        <xdr:cNvPr id="43" name="Rectangle 42">
          <a:extLst>
            <a:ext uri="{FF2B5EF4-FFF2-40B4-BE49-F238E27FC236}">
              <a16:creationId xmlns:a16="http://schemas.microsoft.com/office/drawing/2014/main" id="{E662D017-9EC1-4F60-BEFD-E8C51A135E89}"/>
            </a:ext>
          </a:extLst>
        </xdr:cNvPr>
        <xdr:cNvSpPr/>
      </xdr:nvSpPr>
      <xdr:spPr>
        <a:xfrm>
          <a:off x="11231880" y="5783580"/>
          <a:ext cx="1988820" cy="2842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tIns="72000" rIns="360000" rtlCol="0" anchor="t"/>
        <a:lstStyle/>
        <a:p>
          <a:pPr algn="l"/>
          <a:r>
            <a:rPr lang="en-IN" sz="1300" b="1" i="0" u="none" strike="noStrike">
              <a:solidFill>
                <a:sysClr val="windowText" lastClr="000000"/>
              </a:solidFill>
              <a:effectLst/>
              <a:latin typeface="+mn-lt"/>
              <a:ea typeface="+mn-ea"/>
              <a:cs typeface="+mn-cs"/>
            </a:rPr>
            <a:t>Product</a:t>
          </a:r>
          <a:r>
            <a:rPr lang="en-IN" sz="1300" b="1" i="0" u="none" strike="noStrike" baseline="0">
              <a:solidFill>
                <a:sysClr val="windowText" lastClr="000000"/>
              </a:solidFill>
              <a:effectLst/>
              <a:latin typeface="+mn-lt"/>
              <a:ea typeface="+mn-ea"/>
              <a:cs typeface="+mn-cs"/>
            </a:rPr>
            <a:t> </a:t>
          </a:r>
          <a:r>
            <a:rPr lang="en-IN" sz="1300" b="1" i="0" u="none" strike="noStrike">
              <a:solidFill>
                <a:sysClr val="windowText" lastClr="000000"/>
              </a:solidFill>
              <a:effectLst/>
              <a:latin typeface="+mn-lt"/>
              <a:ea typeface="+mn-ea"/>
              <a:cs typeface="+mn-cs"/>
            </a:rPr>
            <a:t>Category</a:t>
          </a:r>
          <a:r>
            <a:rPr lang="en-IN" sz="1300" b="1">
              <a:solidFill>
                <a:sysClr val="windowText" lastClr="000000"/>
              </a:solidFill>
            </a:rPr>
            <a:t> </a:t>
          </a:r>
          <a:endParaRPr lang="en-IN" sz="1300" b="1">
            <a:solidFill>
              <a:sysClr val="windowText" lastClr="000000"/>
            </a:solidFill>
            <a:latin typeface="+mn-lt"/>
          </a:endParaRPr>
        </a:p>
      </xdr:txBody>
    </xdr:sp>
    <xdr:clientData/>
  </xdr:twoCellAnchor>
  <xdr:twoCellAnchor>
    <xdr:from>
      <xdr:col>11</xdr:col>
      <xdr:colOff>541020</xdr:colOff>
      <xdr:row>33</xdr:row>
      <xdr:rowOff>137160</xdr:rowOff>
    </xdr:from>
    <xdr:to>
      <xdr:col>14</xdr:col>
      <xdr:colOff>662940</xdr:colOff>
      <xdr:row>46</xdr:row>
      <xdr:rowOff>114300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0DF34D82-3C3D-4E4C-8E15-CAE9E892DE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1292840" y="6172200"/>
              <a:ext cx="182880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449580</xdr:colOff>
      <xdr:row>12</xdr:row>
      <xdr:rowOff>114300</xdr:rowOff>
    </xdr:from>
    <xdr:to>
      <xdr:col>14</xdr:col>
      <xdr:colOff>739140</xdr:colOff>
      <xdr:row>18</xdr:row>
      <xdr:rowOff>60960</xdr:rowOff>
    </xdr:to>
    <xdr:sp macro="" textlink="">
      <xdr:nvSpPr>
        <xdr:cNvPr id="49" name="Rectangle: Rounded Corners 48">
          <a:extLst>
            <a:ext uri="{FF2B5EF4-FFF2-40B4-BE49-F238E27FC236}">
              <a16:creationId xmlns:a16="http://schemas.microsoft.com/office/drawing/2014/main" id="{A7953A7C-851D-4146-AB90-A1546BAE9C28}"/>
            </a:ext>
          </a:extLst>
        </xdr:cNvPr>
        <xdr:cNvSpPr/>
      </xdr:nvSpPr>
      <xdr:spPr>
        <a:xfrm>
          <a:off x="11201400" y="2308860"/>
          <a:ext cx="1996440" cy="10439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92000" rIns="180000" rtlCol="0" anchor="t"/>
        <a:lstStyle/>
        <a:p>
          <a:pPr algn="ctr"/>
          <a:r>
            <a:rPr lang="en-IN" sz="1600" b="1" baseline="0">
              <a:solidFill>
                <a:sysClr val="windowText" lastClr="000000"/>
              </a:solidFill>
            </a:rPr>
            <a:t>Total Feedbacks</a:t>
          </a:r>
        </a:p>
        <a:p>
          <a:pPr algn="ctr"/>
          <a:r>
            <a:rPr lang="en-IN" sz="1600" b="1" baseline="0">
              <a:solidFill>
                <a:sysClr val="windowText" lastClr="000000"/>
              </a:solidFill>
            </a:rPr>
            <a:t>100</a:t>
          </a:r>
        </a:p>
      </xdr:txBody>
    </xdr:sp>
    <xdr:clientData/>
  </xdr:twoCellAnchor>
  <xdr:twoCellAnchor>
    <xdr:from>
      <xdr:col>11</xdr:col>
      <xdr:colOff>472440</xdr:colOff>
      <xdr:row>7</xdr:row>
      <xdr:rowOff>76200</xdr:rowOff>
    </xdr:from>
    <xdr:to>
      <xdr:col>14</xdr:col>
      <xdr:colOff>746760</xdr:colOff>
      <xdr:row>12</xdr:row>
      <xdr:rowOff>38100</xdr:rowOff>
    </xdr:to>
    <xdr:sp macro="" textlink="">
      <xdr:nvSpPr>
        <xdr:cNvPr id="50" name="Rectangle: Rounded Corners 49">
          <a:extLst>
            <a:ext uri="{FF2B5EF4-FFF2-40B4-BE49-F238E27FC236}">
              <a16:creationId xmlns:a16="http://schemas.microsoft.com/office/drawing/2014/main" id="{55BA9575-049D-45F9-9F8A-5C7AA197B0FB}"/>
            </a:ext>
          </a:extLst>
        </xdr:cNvPr>
        <xdr:cNvSpPr/>
      </xdr:nvSpPr>
      <xdr:spPr>
        <a:xfrm>
          <a:off x="11224260" y="1356360"/>
          <a:ext cx="1981200"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92000" rIns="180000" rtlCol="0" anchor="t"/>
        <a:lstStyle/>
        <a:p>
          <a:pPr algn="ctr"/>
          <a:endParaRPr lang="en-IN" sz="1400" b="1" baseline="0">
            <a:solidFill>
              <a:sysClr val="windowText" lastClr="000000"/>
            </a:solidFill>
          </a:endParaRPr>
        </a:p>
        <a:p>
          <a:pPr algn="ctr"/>
          <a:r>
            <a:rPr lang="en-IN" sz="1050" b="1" baseline="0">
              <a:solidFill>
                <a:sysClr val="windowText" lastClr="000000"/>
              </a:solidFill>
            </a:rPr>
            <a:t>Sofa with</a:t>
          </a:r>
        </a:p>
        <a:p>
          <a:pPr algn="ctr"/>
          <a:r>
            <a:rPr lang="en-IN" sz="1800" b="1" baseline="0">
              <a:solidFill>
                <a:sysClr val="windowText" lastClr="000000"/>
              </a:solidFill>
            </a:rPr>
            <a:t>177353</a:t>
          </a:r>
        </a:p>
      </xdr:txBody>
    </xdr:sp>
    <xdr:clientData/>
  </xdr:twoCellAnchor>
  <xdr:twoCellAnchor editAs="oneCell">
    <xdr:from>
      <xdr:col>12</xdr:col>
      <xdr:colOff>68580</xdr:colOff>
      <xdr:row>7</xdr:row>
      <xdr:rowOff>83820</xdr:rowOff>
    </xdr:from>
    <xdr:to>
      <xdr:col>14</xdr:col>
      <xdr:colOff>641714</xdr:colOff>
      <xdr:row>9</xdr:row>
      <xdr:rowOff>144817</xdr:rowOff>
    </xdr:to>
    <xdr:pic>
      <xdr:nvPicPr>
        <xdr:cNvPr id="47" name="Picture 46">
          <a:extLst>
            <a:ext uri="{FF2B5EF4-FFF2-40B4-BE49-F238E27FC236}">
              <a16:creationId xmlns:a16="http://schemas.microsoft.com/office/drawing/2014/main" id="{0E65C58B-D3ED-4C98-BDA8-0962EA726CFC}"/>
            </a:ext>
          </a:extLst>
        </xdr:cNvPr>
        <xdr:cNvPicPr>
          <a:picLocks noChangeAspect="1"/>
        </xdr:cNvPicPr>
      </xdr:nvPicPr>
      <xdr:blipFill>
        <a:blip xmlns:r="http://schemas.openxmlformats.org/officeDocument/2006/relationships" r:embed="rId10"/>
        <a:stretch>
          <a:fillRect/>
        </a:stretch>
      </xdr:blipFill>
      <xdr:spPr>
        <a:xfrm>
          <a:off x="11826240" y="1363980"/>
          <a:ext cx="1274174" cy="426757"/>
        </a:xfrm>
        <a:prstGeom prst="rect">
          <a:avLst/>
        </a:prstGeom>
      </xdr:spPr>
    </xdr:pic>
    <xdr:clientData/>
  </xdr:twoCellAnchor>
  <xdr:twoCellAnchor editAs="oneCell">
    <xdr:from>
      <xdr:col>11</xdr:col>
      <xdr:colOff>640080</xdr:colOff>
      <xdr:row>13</xdr:row>
      <xdr:rowOff>106680</xdr:rowOff>
    </xdr:from>
    <xdr:to>
      <xdr:col>12</xdr:col>
      <xdr:colOff>182880</xdr:colOff>
      <xdr:row>16</xdr:row>
      <xdr:rowOff>106680</xdr:rowOff>
    </xdr:to>
    <xdr:pic>
      <xdr:nvPicPr>
        <xdr:cNvPr id="57" name="Graphic 56" descr="Customer review with solid fill">
          <a:extLst>
            <a:ext uri="{FF2B5EF4-FFF2-40B4-BE49-F238E27FC236}">
              <a16:creationId xmlns:a16="http://schemas.microsoft.com/office/drawing/2014/main" id="{6AECFF24-127D-4306-8A80-86FAE80C59A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391900" y="2484120"/>
          <a:ext cx="548640" cy="548640"/>
        </a:xfrm>
        <a:prstGeom prst="rect">
          <a:avLst/>
        </a:prstGeom>
      </xdr:spPr>
    </xdr:pic>
    <xdr:clientData/>
  </xdr:twoCellAnchor>
  <xdr:twoCellAnchor editAs="oneCell">
    <xdr:from>
      <xdr:col>11</xdr:col>
      <xdr:colOff>480060</xdr:colOff>
      <xdr:row>18</xdr:row>
      <xdr:rowOff>137160</xdr:rowOff>
    </xdr:from>
    <xdr:to>
      <xdr:col>14</xdr:col>
      <xdr:colOff>746760</xdr:colOff>
      <xdr:row>30</xdr:row>
      <xdr:rowOff>175260</xdr:rowOff>
    </xdr:to>
    <mc:AlternateContent xmlns:mc="http://schemas.openxmlformats.org/markup-compatibility/2006">
      <mc:Choice xmlns:a14="http://schemas.microsoft.com/office/drawing/2010/main" Requires="a14">
        <xdr:graphicFrame macro="">
          <xdr:nvGraphicFramePr>
            <xdr:cNvPr id="20" name="Product_Category">
              <a:extLst>
                <a:ext uri="{FF2B5EF4-FFF2-40B4-BE49-F238E27FC236}">
                  <a16:creationId xmlns:a16="http://schemas.microsoft.com/office/drawing/2014/main" id="{3B662C8A-66C4-4AE4-BF6D-EB2B309D76C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1265291" y="3478237"/>
              <a:ext cx="1976315" cy="226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701040</xdr:colOff>
      <xdr:row>13</xdr:row>
      <xdr:rowOff>38100</xdr:rowOff>
    </xdr:from>
    <xdr:to>
      <xdr:col>10</xdr:col>
      <xdr:colOff>83820</xdr:colOff>
      <xdr:row>15</xdr:row>
      <xdr:rowOff>7620</xdr:rowOff>
    </xdr:to>
    <xdr:pic>
      <xdr:nvPicPr>
        <xdr:cNvPr id="37" name="Graphic 36" descr="List with solid fill">
          <a:extLst>
            <a:ext uri="{FF2B5EF4-FFF2-40B4-BE49-F238E27FC236}">
              <a16:creationId xmlns:a16="http://schemas.microsoft.com/office/drawing/2014/main" id="{EF8D9A88-0A8A-430D-92C3-21371B0F316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410700" y="2415540"/>
          <a:ext cx="403860" cy="335280"/>
        </a:xfrm>
        <a:prstGeom prst="rect">
          <a:avLst/>
        </a:prstGeom>
      </xdr:spPr>
    </xdr:pic>
    <xdr:clientData/>
  </xdr:twoCellAnchor>
  <xdr:twoCellAnchor editAs="oneCell">
    <xdr:from>
      <xdr:col>7</xdr:col>
      <xdr:colOff>195720</xdr:colOff>
      <xdr:row>13</xdr:row>
      <xdr:rowOff>73800</xdr:rowOff>
    </xdr:from>
    <xdr:to>
      <xdr:col>7</xdr:col>
      <xdr:colOff>365760</xdr:colOff>
      <xdr:row>14</xdr:row>
      <xdr:rowOff>60960</xdr:rowOff>
    </xdr:to>
    <xdr:pic>
      <xdr:nvPicPr>
        <xdr:cNvPr id="34" name="Graphic 33" descr="Venn diagram with solid fill">
          <a:extLst>
            <a:ext uri="{FF2B5EF4-FFF2-40B4-BE49-F238E27FC236}">
              <a16:creationId xmlns:a16="http://schemas.microsoft.com/office/drawing/2014/main" id="{400D78F7-1A0B-464B-85C7-FDBA328DE02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023240" y="2451240"/>
          <a:ext cx="170040" cy="170040"/>
        </a:xfrm>
        <a:prstGeom prst="rect">
          <a:avLst/>
        </a:prstGeom>
      </xdr:spPr>
    </xdr:pic>
    <xdr:clientData/>
  </xdr:twoCellAnchor>
  <xdr:twoCellAnchor editAs="oneCell">
    <xdr:from>
      <xdr:col>7</xdr:col>
      <xdr:colOff>83820</xdr:colOff>
      <xdr:row>12</xdr:row>
      <xdr:rowOff>152400</xdr:rowOff>
    </xdr:from>
    <xdr:to>
      <xdr:col>7</xdr:col>
      <xdr:colOff>472440</xdr:colOff>
      <xdr:row>14</xdr:row>
      <xdr:rowOff>175260</xdr:rowOff>
    </xdr:to>
    <xdr:pic>
      <xdr:nvPicPr>
        <xdr:cNvPr id="32" name="Graphic 31" descr="Arrow circle with solid fill">
          <a:extLst>
            <a:ext uri="{FF2B5EF4-FFF2-40B4-BE49-F238E27FC236}">
              <a16:creationId xmlns:a16="http://schemas.microsoft.com/office/drawing/2014/main" id="{D1F04485-C063-4EA1-A58A-2CF01C289B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6911340" y="2346960"/>
          <a:ext cx="388620" cy="388620"/>
        </a:xfrm>
        <a:prstGeom prst="rect">
          <a:avLst/>
        </a:prstGeom>
      </xdr:spPr>
    </xdr:pic>
    <xdr:clientData/>
  </xdr:twoCellAnchor>
  <xdr:twoCellAnchor editAs="oneCell">
    <xdr:from>
      <xdr:col>2</xdr:col>
      <xdr:colOff>876300</xdr:colOff>
      <xdr:row>31</xdr:row>
      <xdr:rowOff>60960</xdr:rowOff>
    </xdr:from>
    <xdr:to>
      <xdr:col>3</xdr:col>
      <xdr:colOff>205740</xdr:colOff>
      <xdr:row>33</xdr:row>
      <xdr:rowOff>45720</xdr:rowOff>
    </xdr:to>
    <xdr:pic>
      <xdr:nvPicPr>
        <xdr:cNvPr id="42" name="Graphic 41" descr="Daily calendar with solid fill">
          <a:extLst>
            <a:ext uri="{FF2B5EF4-FFF2-40B4-BE49-F238E27FC236}">
              <a16:creationId xmlns:a16="http://schemas.microsoft.com/office/drawing/2014/main" id="{FAD5C825-40A0-42D7-B1F8-AEC5ED00533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758440" y="5730240"/>
          <a:ext cx="350520" cy="350520"/>
        </a:xfrm>
        <a:prstGeom prst="rect">
          <a:avLst/>
        </a:prstGeom>
      </xdr:spPr>
    </xdr:pic>
    <xdr:clientData/>
  </xdr:twoCellAnchor>
  <xdr:twoCellAnchor editAs="oneCell">
    <xdr:from>
      <xdr:col>9</xdr:col>
      <xdr:colOff>327660</xdr:colOff>
      <xdr:row>31</xdr:row>
      <xdr:rowOff>22860</xdr:rowOff>
    </xdr:from>
    <xdr:to>
      <xdr:col>9</xdr:col>
      <xdr:colOff>678180</xdr:colOff>
      <xdr:row>33</xdr:row>
      <xdr:rowOff>7620</xdr:rowOff>
    </xdr:to>
    <xdr:pic>
      <xdr:nvPicPr>
        <xdr:cNvPr id="48" name="Graphic 47" descr="Money with solid fill">
          <a:extLst>
            <a:ext uri="{FF2B5EF4-FFF2-40B4-BE49-F238E27FC236}">
              <a16:creationId xmlns:a16="http://schemas.microsoft.com/office/drawing/2014/main" id="{B2D0626D-D4AE-42E4-B5A9-2E106238CAF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9037320" y="5692140"/>
          <a:ext cx="350520" cy="350520"/>
        </a:xfrm>
        <a:prstGeom prst="rect">
          <a:avLst/>
        </a:prstGeom>
      </xdr:spPr>
    </xdr:pic>
    <xdr:clientData/>
  </xdr:twoCellAnchor>
  <xdr:twoCellAnchor editAs="oneCell">
    <xdr:from>
      <xdr:col>11</xdr:col>
      <xdr:colOff>533400</xdr:colOff>
      <xdr:row>31</xdr:row>
      <xdr:rowOff>152400</xdr:rowOff>
    </xdr:from>
    <xdr:to>
      <xdr:col>11</xdr:col>
      <xdr:colOff>868680</xdr:colOff>
      <xdr:row>33</xdr:row>
      <xdr:rowOff>121920</xdr:rowOff>
    </xdr:to>
    <xdr:pic>
      <xdr:nvPicPr>
        <xdr:cNvPr id="45" name="Graphic 44" descr="Shopping cart with solid fill">
          <a:extLst>
            <a:ext uri="{FF2B5EF4-FFF2-40B4-BE49-F238E27FC236}">
              <a16:creationId xmlns:a16="http://schemas.microsoft.com/office/drawing/2014/main" id="{2EF6461F-9586-4B8D-BB0B-06C41A954C38}"/>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1285220" y="5821680"/>
          <a:ext cx="335280" cy="335280"/>
        </a:xfrm>
        <a:prstGeom prst="rect">
          <a:avLst/>
        </a:prstGeom>
      </xdr:spPr>
    </xdr:pic>
    <xdr:clientData/>
  </xdr:twoCellAnchor>
  <xdr:twoCellAnchor editAs="oneCell">
    <xdr:from>
      <xdr:col>2</xdr:col>
      <xdr:colOff>962246</xdr:colOff>
      <xdr:row>7</xdr:row>
      <xdr:rowOff>121921</xdr:rowOff>
    </xdr:from>
    <xdr:to>
      <xdr:col>3</xdr:col>
      <xdr:colOff>662940</xdr:colOff>
      <xdr:row>11</xdr:row>
      <xdr:rowOff>157119</xdr:rowOff>
    </xdr:to>
    <xdr:pic>
      <xdr:nvPicPr>
        <xdr:cNvPr id="10" name="Graphic 9" descr="Business Growth with solid fill">
          <a:extLst>
            <a:ext uri="{FF2B5EF4-FFF2-40B4-BE49-F238E27FC236}">
              <a16:creationId xmlns:a16="http://schemas.microsoft.com/office/drawing/2014/main" id="{A25577FD-1BF5-4BD0-BFEE-DF70D588E02D}"/>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844386" y="1402081"/>
          <a:ext cx="721774" cy="766718"/>
        </a:xfrm>
        <a:prstGeom prst="rect">
          <a:avLst/>
        </a:prstGeom>
      </xdr:spPr>
    </xdr:pic>
    <xdr:clientData/>
  </xdr:twoCellAnchor>
  <xdr:twoCellAnchor editAs="oneCell">
    <xdr:from>
      <xdr:col>5</xdr:col>
      <xdr:colOff>906780</xdr:colOff>
      <xdr:row>8</xdr:row>
      <xdr:rowOff>0</xdr:rowOff>
    </xdr:from>
    <xdr:to>
      <xdr:col>6</xdr:col>
      <xdr:colOff>518160</xdr:colOff>
      <xdr:row>11</xdr:row>
      <xdr:rowOff>83820</xdr:rowOff>
    </xdr:to>
    <xdr:pic>
      <xdr:nvPicPr>
        <xdr:cNvPr id="24" name="Graphic 23" descr="Coins with solid fill">
          <a:extLst>
            <a:ext uri="{FF2B5EF4-FFF2-40B4-BE49-F238E27FC236}">
              <a16:creationId xmlns:a16="http://schemas.microsoft.com/office/drawing/2014/main" id="{B1AF85EE-C405-41E2-9824-6C6DF926AE96}"/>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5852160" y="1463040"/>
          <a:ext cx="632460" cy="632460"/>
        </a:xfrm>
        <a:prstGeom prst="rect">
          <a:avLst/>
        </a:prstGeom>
      </xdr:spPr>
    </xdr:pic>
    <xdr:clientData/>
  </xdr:twoCellAnchor>
  <xdr:twoCellAnchor editAs="oneCell">
    <xdr:from>
      <xdr:col>8</xdr:col>
      <xdr:colOff>784860</xdr:colOff>
      <xdr:row>7</xdr:row>
      <xdr:rowOff>160020</xdr:rowOff>
    </xdr:from>
    <xdr:to>
      <xdr:col>9</xdr:col>
      <xdr:colOff>586740</xdr:colOff>
      <xdr:row>11</xdr:row>
      <xdr:rowOff>91440</xdr:rowOff>
    </xdr:to>
    <xdr:pic>
      <xdr:nvPicPr>
        <xdr:cNvPr id="26" name="Graphic 25" descr="Upward trend with solid fill">
          <a:extLst>
            <a:ext uri="{FF2B5EF4-FFF2-40B4-BE49-F238E27FC236}">
              <a16:creationId xmlns:a16="http://schemas.microsoft.com/office/drawing/2014/main" id="{B1D058CB-A2D5-4664-9C0B-7E6710CCFC36}"/>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8633460" y="1440180"/>
          <a:ext cx="662940" cy="662940"/>
        </a:xfrm>
        <a:prstGeom prst="rect">
          <a:avLst/>
        </a:prstGeom>
      </xdr:spPr>
    </xdr:pic>
    <xdr:clientData/>
  </xdr:twoCellAnchor>
  <xdr:twoCellAnchor editAs="oneCell">
    <xdr:from>
      <xdr:col>11</xdr:col>
      <xdr:colOff>541020</xdr:colOff>
      <xdr:row>8</xdr:row>
      <xdr:rowOff>114300</xdr:rowOff>
    </xdr:from>
    <xdr:to>
      <xdr:col>12</xdr:col>
      <xdr:colOff>60960</xdr:colOff>
      <xdr:row>11</xdr:row>
      <xdr:rowOff>91440</xdr:rowOff>
    </xdr:to>
    <xdr:pic>
      <xdr:nvPicPr>
        <xdr:cNvPr id="52" name="Graphic 51" descr="Presentation with pie chart with solid fill">
          <a:extLst>
            <a:ext uri="{FF2B5EF4-FFF2-40B4-BE49-F238E27FC236}">
              <a16:creationId xmlns:a16="http://schemas.microsoft.com/office/drawing/2014/main" id="{DCAF1D3A-06C8-49DE-ADAE-6788B7E8C622}"/>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11292840" y="1577340"/>
          <a:ext cx="525780" cy="525780"/>
        </a:xfrm>
        <a:prstGeom prst="rect">
          <a:avLst/>
        </a:prstGeom>
      </xdr:spPr>
    </xdr:pic>
    <xdr:clientData/>
  </xdr:twoCellAnchor>
  <xdr:twoCellAnchor editAs="oneCell">
    <xdr:from>
      <xdr:col>2</xdr:col>
      <xdr:colOff>845820</xdr:colOff>
      <xdr:row>13</xdr:row>
      <xdr:rowOff>38100</xdr:rowOff>
    </xdr:from>
    <xdr:to>
      <xdr:col>3</xdr:col>
      <xdr:colOff>182880</xdr:colOff>
      <xdr:row>15</xdr:row>
      <xdr:rowOff>30480</xdr:rowOff>
    </xdr:to>
    <xdr:pic>
      <xdr:nvPicPr>
        <xdr:cNvPr id="44" name="Graphic 43" descr="Bar graph with upward trend with solid fill">
          <a:extLst>
            <a:ext uri="{FF2B5EF4-FFF2-40B4-BE49-F238E27FC236}">
              <a16:creationId xmlns:a16="http://schemas.microsoft.com/office/drawing/2014/main" id="{9465FC27-DE82-460B-8A17-B2906632CCD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 uri="{96DAC541-7B7A-43D3-8B79-37D633B846F1}">
              <asvg:svgBlip xmlns:asvg="http://schemas.microsoft.com/office/drawing/2016/SVG/main" r:embed="rId34"/>
            </a:ext>
          </a:extLst>
        </a:blip>
        <a:stretch>
          <a:fillRect/>
        </a:stretch>
      </xdr:blipFill>
      <xdr:spPr>
        <a:xfrm>
          <a:off x="2727960" y="2415540"/>
          <a:ext cx="358140" cy="358140"/>
        </a:xfrm>
        <a:prstGeom prst="rect">
          <a:avLst/>
        </a:prstGeom>
      </xdr:spPr>
    </xdr:pic>
    <xdr:clientData/>
  </xdr:twoCellAnchor>
  <xdr:twoCellAnchor editAs="oneCell">
    <xdr:from>
      <xdr:col>1</xdr:col>
      <xdr:colOff>304800</xdr:colOff>
      <xdr:row>7</xdr:row>
      <xdr:rowOff>99060</xdr:rowOff>
    </xdr:from>
    <xdr:to>
      <xdr:col>2</xdr:col>
      <xdr:colOff>662940</xdr:colOff>
      <xdr:row>21</xdr:row>
      <xdr:rowOff>5715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F94CA5A9-FA2D-41B5-B4B7-BD7FFDEC539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30569" y="1398368"/>
              <a:ext cx="1217833" cy="2505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21</xdr:row>
      <xdr:rowOff>60960</xdr:rowOff>
    </xdr:from>
    <xdr:to>
      <xdr:col>2</xdr:col>
      <xdr:colOff>655320</xdr:colOff>
      <xdr:row>47</xdr:row>
      <xdr:rowOff>45720</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FF0A20AE-A44C-4D2F-9470-F2328C7E13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30569" y="3958883"/>
              <a:ext cx="1210213" cy="481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845820</xdr:colOff>
      <xdr:row>2</xdr:row>
      <xdr:rowOff>99060</xdr:rowOff>
    </xdr:from>
    <xdr:to>
      <xdr:col>14</xdr:col>
      <xdr:colOff>312420</xdr:colOff>
      <xdr:row>6</xdr:row>
      <xdr:rowOff>22859</xdr:rowOff>
    </xdr:to>
    <mc:AlternateContent xmlns:mc="http://schemas.openxmlformats.org/markup-compatibility/2006">
      <mc:Choice xmlns:a14="http://schemas.microsoft.com/office/drawing/2010/main" Requires="a14">
        <xdr:graphicFrame macro="">
          <xdr:nvGraphicFramePr>
            <xdr:cNvPr id="9" name="Payment Mode">
              <a:extLst>
                <a:ext uri="{FF2B5EF4-FFF2-40B4-BE49-F238E27FC236}">
                  <a16:creationId xmlns:a16="http://schemas.microsoft.com/office/drawing/2014/main" id="{B53EB902-AB11-4A3A-9681-D20851EF24C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5808589" y="470291"/>
              <a:ext cx="6998677" cy="666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388620</xdr:colOff>
      <xdr:row>2</xdr:row>
      <xdr:rowOff>76200</xdr:rowOff>
    </xdr:from>
    <xdr:to>
      <xdr:col>2</xdr:col>
      <xdr:colOff>220980</xdr:colOff>
      <xdr:row>6</xdr:row>
      <xdr:rowOff>38100</xdr:rowOff>
    </xdr:to>
    <xdr:pic>
      <xdr:nvPicPr>
        <xdr:cNvPr id="16" name="Graphic 15" descr="Presentation with bar chart with solid fill">
          <a:extLst>
            <a:ext uri="{FF2B5EF4-FFF2-40B4-BE49-F238E27FC236}">
              <a16:creationId xmlns:a16="http://schemas.microsoft.com/office/drawing/2014/main" id="{F4A9F437-3FBC-4506-AC6F-C8B69C65A28E}"/>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 uri="{96DAC541-7B7A-43D3-8B79-37D633B846F1}">
              <asvg:svgBlip xmlns:asvg="http://schemas.microsoft.com/office/drawing/2016/SVG/main" r:embed="rId36"/>
            </a:ext>
          </a:extLst>
        </a:blip>
        <a:stretch>
          <a:fillRect/>
        </a:stretch>
      </xdr:blipFill>
      <xdr:spPr>
        <a:xfrm>
          <a:off x="1409700" y="441960"/>
          <a:ext cx="693420" cy="6934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5922.902329050929" createdVersion="7" refreshedVersion="7" minRefreshableVersion="3" recordCount="101" xr:uid="{D98E8F3D-0FC0-401E-B8F2-FAD45086B4B5}">
  <cacheSource type="worksheet">
    <worksheetSource ref="P1:P1048576" sheet="2nd_Project"/>
  </cacheSource>
  <cacheFields count="2">
    <cacheField name="Revenue" numFmtId="0">
      <sharedItems containsString="0" containsBlank="1" containsNumber="1" containsInteger="1" minValue="246" maxValue="38691"/>
    </cacheField>
    <cacheField name="Month" numFmtId="0">
      <sharedItems containsBlank="1" count="24">
        <s v="2022-01"/>
        <s v="2022-02"/>
        <s v="2022-03"/>
        <s v="2022-04"/>
        <s v="2022-05"/>
        <s v="2022-06"/>
        <s v="2022-07"/>
        <s v="2022-08"/>
        <s v="2022-09"/>
        <s v="2022-10"/>
        <s v="2022-11"/>
        <s v="2022-12"/>
        <s v="2023-01"/>
        <s v="2023-02"/>
        <s v="2023-03"/>
        <s v="2023-04"/>
        <s v="2023-05"/>
        <s v="2023-06"/>
        <s v="2023-07"/>
        <s v="2023-08"/>
        <s v="2023-09"/>
        <s v="2023-10"/>
        <s v="2023-1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5922.989170138891" createdVersion="7" refreshedVersion="7" minRefreshableVersion="3" recordCount="101" xr:uid="{D1F50012-D6A2-4C6B-AE0A-8CE94F7CD054}">
  <cacheSource type="worksheet">
    <worksheetSource ref="O1:Q1048576" sheet="2nd_Project"/>
  </cacheSource>
  <cacheFields count="3">
    <cacheField name="Month" numFmtId="0">
      <sharedItems containsBlank="1" count="24">
        <s v="2022-01"/>
        <s v="2022-02"/>
        <s v="2022-03"/>
        <s v="2022-04"/>
        <s v="2022-05"/>
        <s v="2022-06"/>
        <s v="2022-07"/>
        <s v="2022-08"/>
        <s v="2022-09"/>
        <s v="2022-10"/>
        <s v="2022-11"/>
        <s v="2022-12"/>
        <s v="2023-01"/>
        <s v="2023-02"/>
        <s v="2023-03"/>
        <s v="2023-04"/>
        <s v="2023-05"/>
        <s v="2023-06"/>
        <s v="2023-07"/>
        <s v="2023-08"/>
        <s v="2023-09"/>
        <s v="2023-10"/>
        <s v="2023-11"/>
        <m/>
      </sharedItems>
    </cacheField>
    <cacheField name="Revenue" numFmtId="164">
      <sharedItems containsString="0" containsBlank="1" containsNumber="1" containsInteger="1" minValue="246" maxValue="38691"/>
    </cacheField>
    <cacheField name="Profit 20%" numFmtId="0">
      <sharedItems containsString="0" containsBlank="1" containsNumber="1" minValue="50.2" maxValue="7739.20000000000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5923.856588310184" createdVersion="7" refreshedVersion="7" minRefreshableVersion="3" recordCount="101" xr:uid="{5894682F-C68E-474F-B89A-0C6EDB039B06}">
  <cacheSource type="worksheet">
    <worksheetSource ref="A1:Q1048576" sheet="2nd_Project"/>
  </cacheSource>
  <cacheFields count="19">
    <cacheField name="Customer_ID" numFmtId="0">
      <sharedItems containsBlank="1"/>
    </cacheField>
    <cacheField name="Name" numFmtId="0">
      <sharedItems containsBlank="1"/>
    </cacheField>
    <cacheField name="Age" numFmtId="0">
      <sharedItems containsString="0" containsBlank="1" containsNumber="1" containsInteger="1" minValue="18" maxValue="59"/>
    </cacheField>
    <cacheField name="Gender" numFmtId="0">
      <sharedItems containsBlank="1"/>
    </cacheField>
    <cacheField name="City" numFmtId="0">
      <sharedItems containsBlank="1"/>
    </cacheField>
    <cacheField name="Product_Category" numFmtId="0">
      <sharedItems containsBlank="1"/>
    </cacheField>
    <cacheField name="Product_Name" numFmtId="0">
      <sharedItems containsBlank="1" count="11">
        <s v="Laptop"/>
        <s v="Doll"/>
        <s v="Novel"/>
        <s v="Sofa"/>
        <s v="Shirt"/>
        <s v="Table"/>
        <s v="Phone"/>
        <s v="Jeans"/>
        <s v="Rice"/>
        <s v="TV"/>
        <m/>
      </sharedItems>
    </cacheField>
    <cacheField name="Quantity" numFmtId="0">
      <sharedItems containsString="0" containsBlank="1" containsNumber="1" containsInteger="1" minValue="1" maxValue="9"/>
    </cacheField>
    <cacheField name="Price" numFmtId="0">
      <sharedItems containsString="0" containsBlank="1" containsNumber="1" containsInteger="1" minValue="116" maxValue="4993"/>
    </cacheField>
    <cacheField name="Purchase_Date" numFmtId="0">
      <sharedItems containsNonDate="0" containsDate="1" containsString="0" containsBlank="1" minDate="2022-01-01T00:00:00" maxDate="2023-11-26T00:00:00" count="101">
        <d v="2022-01-01T00:00:00"/>
        <d v="2022-01-08T00:00:00"/>
        <d v="2022-01-15T00:00:00"/>
        <d v="2022-01-22T00:00:00"/>
        <d v="2022-01-29T00:00:00"/>
        <d v="2022-02-05T00:00:00"/>
        <d v="2022-02-12T00:00:00"/>
        <d v="2022-02-19T00:00:00"/>
        <d v="2022-02-26T00:00:00"/>
        <d v="2022-03-05T00:00:00"/>
        <d v="2022-03-12T00:00:00"/>
        <d v="2022-03-19T00:00:00"/>
        <d v="2022-03-26T00:00:00"/>
        <d v="2022-04-02T00:00:00"/>
        <d v="2022-04-09T00:00:00"/>
        <d v="2022-04-16T00:00:00"/>
        <d v="2022-04-23T00:00:00"/>
        <d v="2022-04-30T00:00:00"/>
        <d v="2022-05-07T00:00:00"/>
        <d v="2022-05-14T00:00:00"/>
        <d v="2022-05-21T00:00:00"/>
        <d v="2022-05-28T00:00:00"/>
        <d v="2022-06-04T00:00:00"/>
        <d v="2022-06-11T00:00:00"/>
        <d v="2022-06-18T00:00:00"/>
        <d v="2022-06-25T00:00:00"/>
        <d v="2022-07-02T00:00:00"/>
        <d v="2022-07-09T00:00:00"/>
        <d v="2022-07-16T00:00:00"/>
        <d v="2022-07-23T00:00:00"/>
        <d v="2022-07-30T00:00:00"/>
        <d v="2022-08-06T00:00:00"/>
        <d v="2022-08-13T00:00:00"/>
        <d v="2022-08-20T00:00:00"/>
        <d v="2022-08-27T00:00:00"/>
        <d v="2022-09-03T00:00:00"/>
        <d v="2022-09-10T00:00:00"/>
        <d v="2022-09-17T00:00:00"/>
        <d v="2022-09-24T00:00:00"/>
        <d v="2022-10-01T00:00:00"/>
        <d v="2022-10-08T00:00:00"/>
        <d v="2022-10-15T00:00:00"/>
        <d v="2022-10-22T00:00:00"/>
        <d v="2022-10-29T00:00:00"/>
        <d v="2022-11-05T00:00:00"/>
        <d v="2022-11-12T00:00:00"/>
        <d v="2022-11-19T00:00:00"/>
        <d v="2022-11-26T00:00:00"/>
        <d v="2022-12-03T00:00:00"/>
        <d v="2022-12-10T00:00:00"/>
        <d v="2022-12-17T00:00:00"/>
        <d v="2022-12-24T00:00:00"/>
        <d v="2022-12-31T00:00:00"/>
        <d v="2023-01-07T00:00:00"/>
        <d v="2023-01-14T00:00:00"/>
        <d v="2023-01-21T00:00:00"/>
        <d v="2023-01-28T00:00:00"/>
        <d v="2023-02-04T00:00:00"/>
        <d v="2023-02-11T00:00:00"/>
        <d v="2023-02-18T00:00:00"/>
        <d v="2023-02-25T00:00:00"/>
        <d v="2023-03-04T00:00:00"/>
        <d v="2023-03-11T00:00:00"/>
        <d v="2023-03-18T00:00:00"/>
        <d v="2023-03-25T00:00:00"/>
        <d v="2023-04-01T00:00:00"/>
        <d v="2023-04-08T00:00:00"/>
        <d v="2023-04-15T00:00:00"/>
        <d v="2023-04-22T00:00:00"/>
        <d v="2023-04-29T00:00:00"/>
        <d v="2023-05-06T00:00:00"/>
        <d v="2023-05-13T00:00:00"/>
        <d v="2023-05-20T00:00:00"/>
        <d v="2023-05-27T00:00:00"/>
        <d v="2023-06-03T00:00:00"/>
        <d v="2023-06-10T00:00:00"/>
        <d v="2023-06-17T00:00:00"/>
        <d v="2023-06-24T00:00:00"/>
        <d v="2023-07-01T00:00:00"/>
        <d v="2023-07-08T00:00:00"/>
        <d v="2023-07-15T00:00:00"/>
        <d v="2023-07-22T00:00:00"/>
        <d v="2023-07-29T00:00:00"/>
        <d v="2023-08-05T00:00:00"/>
        <d v="2023-08-12T00:00:00"/>
        <d v="2023-08-19T00:00:00"/>
        <d v="2023-08-26T00:00:00"/>
        <d v="2023-09-02T00:00:00"/>
        <d v="2023-09-09T00:00:00"/>
        <d v="2023-09-16T00:00:00"/>
        <d v="2023-09-23T00:00:00"/>
        <d v="2023-09-30T00:00:00"/>
        <d v="2023-10-07T00:00:00"/>
        <d v="2023-10-14T00:00:00"/>
        <d v="2023-10-21T00:00:00"/>
        <d v="2023-10-28T00:00:00"/>
        <d v="2023-11-04T00:00:00"/>
        <d v="2023-11-11T00:00:00"/>
        <d v="2023-11-18T00:00:00"/>
        <d v="2023-11-25T00:00:00"/>
        <m/>
      </sharedItems>
      <fieldGroup par="18" base="9">
        <rangePr groupBy="months" startDate="2022-01-01T00:00:00" endDate="2023-11-26T00:00:00"/>
        <groupItems count="14">
          <s v="(blank)"/>
          <s v="Jan"/>
          <s v="Feb"/>
          <s v="Mar"/>
          <s v="Apr"/>
          <s v="May"/>
          <s v="Jun"/>
          <s v="Jul"/>
          <s v="Aug"/>
          <s v="Sep"/>
          <s v="Oct"/>
          <s v="Nov"/>
          <s v="Dec"/>
          <s v="&gt;26-11-2023"/>
        </groupItems>
      </fieldGroup>
    </cacheField>
    <cacheField name="Payment_Mode" numFmtId="0">
      <sharedItems containsBlank="1" count="6">
        <s v="UPI"/>
        <s v="Credit Card"/>
        <s v="Debit Card"/>
        <s v="Net Banking"/>
        <s v="Cash"/>
        <m/>
      </sharedItems>
    </cacheField>
    <cacheField name="Feedback_Score" numFmtId="0">
      <sharedItems containsString="0" containsBlank="1" containsNumber="1" containsInteger="1" minValue="1" maxValue="5"/>
    </cacheField>
    <cacheField name="Discount_Percentage" numFmtId="0">
      <sharedItems containsString="0" containsBlank="1" containsNumber="1" minValue="0.32" maxValue="29.58"/>
    </cacheField>
    <cacheField name="Product_Category2" numFmtId="0">
      <sharedItems containsBlank="1"/>
    </cacheField>
    <cacheField name="Month" numFmtId="0">
      <sharedItems containsBlank="1"/>
    </cacheField>
    <cacheField name="Revenue" numFmtId="164">
      <sharedItems containsString="0" containsBlank="1" containsNumber="1" containsInteger="1" minValue="246" maxValue="38691"/>
    </cacheField>
    <cacheField name="Profit 20%" numFmtId="0">
      <sharedItems containsString="0" containsBlank="1" containsNumber="1" minValue="50.2" maxValue="7739.2000000000007"/>
    </cacheField>
    <cacheField name="Quarters" numFmtId="0" databaseField="0">
      <fieldGroup base="9">
        <rangePr groupBy="quarters" startDate="2022-01-01T00:00:00" endDate="2023-11-26T00:00:00"/>
        <groupItems count="6">
          <s v="&lt;01-01-2022"/>
          <s v="Qtr1"/>
          <s v="Qtr2"/>
          <s v="Qtr3"/>
          <s v="Qtr4"/>
          <s v="&gt;26-11-2023"/>
        </groupItems>
      </fieldGroup>
    </cacheField>
    <cacheField name="Years" numFmtId="0" databaseField="0">
      <fieldGroup base="9">
        <rangePr groupBy="years" startDate="2022-01-01T00:00:00" endDate="2023-11-26T00:00:00"/>
        <groupItems count="4">
          <s v="&lt;01-01-2022"/>
          <s v="2022"/>
          <s v="2023"/>
          <s v="&gt;26-11-2023"/>
        </groupItems>
      </fieldGroup>
    </cacheField>
  </cacheFields>
  <extLst>
    <ext xmlns:x14="http://schemas.microsoft.com/office/spreadsheetml/2009/9/main" uri="{725AE2AE-9491-48be-B2B4-4EB974FC3084}">
      <x14:pivotCacheDefinition pivotCacheId="18442483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C" refreshedDate="45923.878351620369" backgroundQuery="1" createdVersion="7" refreshedVersion="7" minRefreshableVersion="3" recordCount="0" supportSubquery="1" supportAdvancedDrill="1" xr:uid="{C56EC70D-A04E-4AB7-935B-F389AFEFA740}">
  <cacheSource type="external" connectionId="1"/>
  <cacheFields count="2">
    <cacheField name="[Range 1].[Payment_Mode].[Payment_Mode]" caption="Payment_Mode" numFmtId="0" hierarchy="10" level="1">
      <sharedItems count="5">
        <s v="Cash"/>
        <s v="Credit Card"/>
        <s v="Debit Card"/>
        <s v="Net Banking"/>
        <s v="UPI"/>
      </sharedItems>
    </cacheField>
    <cacheField name="[Measures].[Sum of Revenue]" caption="Sum of Revenue" numFmtId="0" hierarchy="19" level="32767"/>
  </cacheFields>
  <cacheHierarchies count="22">
    <cacheHierarchy uniqueName="[Range 1].[Customer_ID]" caption="Customer_ID" attribute="1" defaultMemberUniqueName="[Range 1].[Customer_ID].[All]" allUniqueName="[Range 1].[Customer_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Gender]" caption="Gender" attribute="1" defaultMemberUniqueName="[Range 1].[Gender].[All]" allUniqueName="[Range 1].[Gender].[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Price]" caption="Price" attribute="1" defaultMemberUniqueName="[Range 1].[Price].[All]" allUniqueName="[Range 1].[Price].[All]" dimensionUniqueName="[Range 1]" displayFolder="" count="0" memberValueDatatype="20" unbalanced="0"/>
    <cacheHierarchy uniqueName="[Range 1].[Purchase_Date]" caption="Purchase_Date" attribute="1" time="1" defaultMemberUniqueName="[Range 1].[Purchase_Date].[All]" allUniqueName="[Range 1].[Purchase_Date].[All]" dimensionUniqueName="[Range 1]" displayFolder="" count="0" memberValueDatatype="7" unbalanced="0"/>
    <cacheHierarchy uniqueName="[Range 1].[Payment_Mode]" caption="Payment_Mode" attribute="1" defaultMemberUniqueName="[Range 1].[Payment_Mode].[All]" allUniqueName="[Range 1].[Payment_Mode].[All]" dimensionUniqueName="[Range 1]" displayFolder="" count="2" memberValueDatatype="130" unbalanced="0">
      <fieldsUsage count="2">
        <fieldUsage x="-1"/>
        <fieldUsage x="0"/>
      </fieldsUsage>
    </cacheHierarchy>
    <cacheHierarchy uniqueName="[Range 1].[Feedback_Score]" caption="Feedback_Score" attribute="1" defaultMemberUniqueName="[Range 1].[Feedback_Score].[All]" allUniqueName="[Range 1].[Feedback_Score].[All]" dimensionUniqueName="[Range 1]" displayFolder="" count="0" memberValueDatatype="20" unbalanced="0"/>
    <cacheHierarchy uniqueName="[Range 1].[Discount_Percentage]" caption="Discount_Percentage" attribute="1" defaultMemberUniqueName="[Range 1].[Discount_Percentage].[All]" allUniqueName="[Range 1].[Discount_Percentage].[All]" dimensionUniqueName="[Range 1]" displayFolder="" count="0" memberValueDatatype="5" unbalanced="0"/>
    <cacheHierarchy uniqueName="[Range 1].[Product_Category 2]" caption="Product_Category 2" attribute="1" defaultMemberUniqueName="[Range 1].[Product_Category 2].[All]" allUniqueName="[Range 1].[Product_Category 2].[All]" dimensionUniqueName="[Range 1]" displayFolder="" count="0" memberValueDatatype="130" unbalanced="0"/>
    <cacheHierarchy uniqueName="[Range 1].[Month]" caption="Month" attribute="1" defaultMemberUniqueName="[Range 1].[Month].[All]" allUniqueName="[Range 1].[Month].[All]" dimensionUniqueName="[Range 1]" displayFolder="" count="0" memberValueDatatype="130" unbalanced="0"/>
    <cacheHierarchy uniqueName="[Range 1].[Revenue]" caption="Revenue" attribute="1" defaultMemberUniqueName="[Range 1].[Revenue].[All]" allUniqueName="[Range 1].[Revenue].[All]" dimensionUniqueName="[Range 1]" displayFolder="" count="0" memberValueDatatype="20" unbalanced="0"/>
    <cacheHierarchy uniqueName="[Range 1].[Profit 20%]" caption="Profit 20%" attribute="1" defaultMemberUniqueName="[Range 1].[Profit 20%].[All]" allUniqueName="[Range 1].[Profit 20%].[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oneField="1" hidden="1">
      <fieldsUsage count="1">
        <fieldUsage x="1"/>
      </fieldsUsage>
      <extLst>
        <ext xmlns:x15="http://schemas.microsoft.com/office/spreadsheetml/2010/11/main" uri="{B97F6D7D-B522-45F9-BDA1-12C45D357490}">
          <x15:cacheHierarchy aggregatedColumn="15"/>
        </ext>
      </extLst>
    </cacheHierarchy>
    <cacheHierarchy uniqueName="[Measures].[Max of Revenue]" caption="Max of Revenue" measure="1" displayFolder="" measureGroup="Range 1" count="0" hidden="1">
      <extLst>
        <ext xmlns:x15="http://schemas.microsoft.com/office/spreadsheetml/2010/11/main" uri="{B97F6D7D-B522-45F9-BDA1-12C45D357490}">
          <x15:cacheHierarchy aggregatedColumn="15"/>
        </ext>
      </extLst>
    </cacheHierarchy>
    <cacheHierarchy uniqueName="[Measures].[Sum of Feedback_Score]" caption="Sum of Feedback_Score" measure="1" displayFolder="" measureGroup="Range 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5922.894064004628" createdVersion="7" refreshedVersion="7" minRefreshableVersion="3" recordCount="101" xr:uid="{6E25A124-AE1E-4438-B5A0-EF76BE1868AB}">
  <cacheSource type="worksheet">
    <worksheetSource ref="P1:P1048576" sheet="2nd_Project"/>
  </cacheSource>
  <cacheFields count="1">
    <cacheField name="City" numFmtId="0">
      <sharedItems containsBlank="1" count="8">
        <s v="Hyderabad"/>
        <s v="Pune"/>
        <s v="Bangalore"/>
        <s v="Kolkata"/>
        <s v="Delhi"/>
        <s v="Mumbai"/>
        <s v="Chennai"/>
        <m/>
      </sharedItems>
    </cacheField>
  </cacheFields>
  <extLst>
    <ext xmlns:x14="http://schemas.microsoft.com/office/spreadsheetml/2009/9/main" uri="{725AE2AE-9491-48be-B2B4-4EB974FC3084}">
      <x14:pivotCacheDefinition pivotCacheId="162576677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5922.895949537036" createdVersion="7" refreshedVersion="7" minRefreshableVersion="3" recordCount="101" xr:uid="{08F0531B-50FA-4983-A2A8-89D209770C05}">
  <cacheSource type="worksheet">
    <worksheetSource ref="P1:P1048576" sheet="2nd_Project"/>
  </cacheSource>
  <cacheFields count="1">
    <cacheField name="Month" numFmtId="0">
      <sharedItems containsBlank="1" count="24">
        <s v="2022-01"/>
        <s v="2022-02"/>
        <s v="2022-03"/>
        <s v="2022-04"/>
        <s v="2022-05"/>
        <s v="2022-06"/>
        <s v="2022-07"/>
        <s v="2022-08"/>
        <s v="2022-09"/>
        <s v="2022-10"/>
        <s v="2022-11"/>
        <s v="2022-12"/>
        <s v="2023-01"/>
        <s v="2023-02"/>
        <s v="2023-03"/>
        <s v="2023-04"/>
        <s v="2023-05"/>
        <s v="2023-06"/>
        <s v="2023-07"/>
        <s v="2023-08"/>
        <s v="2023-09"/>
        <s v="2023-10"/>
        <s v="2023-11"/>
        <m/>
      </sharedItems>
    </cacheField>
  </cacheFields>
  <extLst>
    <ext xmlns:x14="http://schemas.microsoft.com/office/spreadsheetml/2009/9/main" uri="{725AE2AE-9491-48be-B2B4-4EB974FC3084}">
      <x14:pivotCacheDefinition pivotCacheId="69098363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5922.896648495371" createdVersion="7" refreshedVersion="7" minRefreshableVersion="3" recordCount="101" xr:uid="{61261C68-A376-4C92-9E63-489D589AEBBD}">
  <cacheSource type="worksheet">
    <worksheetSource ref="N1:N1048576" sheet="2nd_Project"/>
  </cacheSource>
  <cacheFields count="1">
    <cacheField name="Product_Category" numFmtId="0">
      <sharedItems containsBlank="1" count="7">
        <s v="Toys"/>
        <s v="Groceries"/>
        <s v="Clothing"/>
        <s v="Books"/>
        <s v="Furniture"/>
        <s v="Electronics"/>
        <m/>
      </sharedItems>
    </cacheField>
  </cacheFields>
  <extLst>
    <ext xmlns:x14="http://schemas.microsoft.com/office/spreadsheetml/2009/9/main" uri="{725AE2AE-9491-48be-B2B4-4EB974FC3084}">
      <x14:pivotCacheDefinition pivotCacheId="1357610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26199"/>
    <x v="0"/>
  </r>
  <r>
    <n v="11752"/>
    <x v="0"/>
  </r>
  <r>
    <n v="4172"/>
    <x v="0"/>
  </r>
  <r>
    <n v="246"/>
    <x v="0"/>
  </r>
  <r>
    <n v="23233"/>
    <x v="0"/>
  </r>
  <r>
    <n v="21077"/>
    <x v="1"/>
  </r>
  <r>
    <n v="14672"/>
    <x v="1"/>
  </r>
  <r>
    <n v="9715"/>
    <x v="1"/>
  </r>
  <r>
    <n v="1764"/>
    <x v="1"/>
  </r>
  <r>
    <n v="24608"/>
    <x v="2"/>
  </r>
  <r>
    <n v="12354"/>
    <x v="2"/>
  </r>
  <r>
    <n v="7455"/>
    <x v="2"/>
  </r>
  <r>
    <n v="3019"/>
    <x v="2"/>
  </r>
  <r>
    <n v="14508"/>
    <x v="3"/>
  </r>
  <r>
    <n v="9510"/>
    <x v="3"/>
  </r>
  <r>
    <n v="12483"/>
    <x v="3"/>
  </r>
  <r>
    <n v="3469"/>
    <x v="3"/>
  </r>
  <r>
    <n v="1810"/>
    <x v="3"/>
  </r>
  <r>
    <n v="5061"/>
    <x v="4"/>
  </r>
  <r>
    <n v="7812"/>
    <x v="4"/>
  </r>
  <r>
    <n v="33687"/>
    <x v="4"/>
  </r>
  <r>
    <n v="6447"/>
    <x v="4"/>
  </r>
  <r>
    <n v="26761"/>
    <x v="5"/>
  </r>
  <r>
    <n v="4648"/>
    <x v="5"/>
  </r>
  <r>
    <n v="12832"/>
    <x v="5"/>
  </r>
  <r>
    <n v="16760"/>
    <x v="5"/>
  </r>
  <r>
    <n v="10780"/>
    <x v="6"/>
  </r>
  <r>
    <n v="22890"/>
    <x v="6"/>
  </r>
  <r>
    <n v="12474"/>
    <x v="6"/>
  </r>
  <r>
    <n v="9420"/>
    <x v="6"/>
  </r>
  <r>
    <n v="8778"/>
    <x v="6"/>
  </r>
  <r>
    <n v="13797"/>
    <x v="7"/>
  </r>
  <r>
    <n v="19746"/>
    <x v="7"/>
  </r>
  <r>
    <n v="3592"/>
    <x v="7"/>
  </r>
  <r>
    <n v="36819"/>
    <x v="7"/>
  </r>
  <r>
    <n v="24115"/>
    <x v="8"/>
  </r>
  <r>
    <n v="28692"/>
    <x v="8"/>
  </r>
  <r>
    <n v="6992"/>
    <x v="8"/>
  </r>
  <r>
    <n v="10815"/>
    <x v="8"/>
  </r>
  <r>
    <n v="38691"/>
    <x v="9"/>
  </r>
  <r>
    <n v="28161"/>
    <x v="9"/>
  </r>
  <r>
    <n v="353"/>
    <x v="9"/>
  </r>
  <r>
    <n v="3283"/>
    <x v="9"/>
  </r>
  <r>
    <n v="23913"/>
    <x v="9"/>
  </r>
  <r>
    <n v="1782"/>
    <x v="10"/>
  </r>
  <r>
    <n v="9200"/>
    <x v="10"/>
  </r>
  <r>
    <n v="27549"/>
    <x v="10"/>
  </r>
  <r>
    <n v="13599"/>
    <x v="10"/>
  </r>
  <r>
    <n v="27139"/>
    <x v="11"/>
  </r>
  <r>
    <n v="17814"/>
    <x v="11"/>
  </r>
  <r>
    <n v="26672"/>
    <x v="11"/>
  </r>
  <r>
    <n v="35019"/>
    <x v="11"/>
  </r>
  <r>
    <n v="5280"/>
    <x v="11"/>
  </r>
  <r>
    <n v="4167"/>
    <x v="12"/>
  </r>
  <r>
    <n v="780"/>
    <x v="12"/>
  </r>
  <r>
    <n v="36744"/>
    <x v="12"/>
  </r>
  <r>
    <n v="8400"/>
    <x v="12"/>
  </r>
  <r>
    <n v="32696"/>
    <x v="13"/>
  </r>
  <r>
    <n v="14643"/>
    <x v="13"/>
  </r>
  <r>
    <n v="5272"/>
    <x v="13"/>
  </r>
  <r>
    <n v="4596"/>
    <x v="13"/>
  </r>
  <r>
    <n v="4835"/>
    <x v="14"/>
  </r>
  <r>
    <n v="12816"/>
    <x v="14"/>
  </r>
  <r>
    <n v="19845"/>
    <x v="14"/>
  </r>
  <r>
    <n v="9310"/>
    <x v="14"/>
  </r>
  <r>
    <n v="3162"/>
    <x v="15"/>
  </r>
  <r>
    <n v="4665"/>
    <x v="15"/>
  </r>
  <r>
    <n v="17730"/>
    <x v="15"/>
  </r>
  <r>
    <n v="1145"/>
    <x v="15"/>
  </r>
  <r>
    <n v="14344"/>
    <x v="15"/>
  </r>
  <r>
    <n v="3536"/>
    <x v="16"/>
  </r>
  <r>
    <n v="662"/>
    <x v="16"/>
  </r>
  <r>
    <n v="5170"/>
    <x v="16"/>
  </r>
  <r>
    <n v="6908"/>
    <x v="16"/>
  </r>
  <r>
    <n v="1950"/>
    <x v="17"/>
  </r>
  <r>
    <n v="34951"/>
    <x v="17"/>
  </r>
  <r>
    <n v="5295"/>
    <x v="17"/>
  </r>
  <r>
    <n v="4648"/>
    <x v="17"/>
  </r>
  <r>
    <n v="3167"/>
    <x v="18"/>
  </r>
  <r>
    <n v="2745"/>
    <x v="18"/>
  </r>
  <r>
    <n v="9708"/>
    <x v="18"/>
  </r>
  <r>
    <n v="23710"/>
    <x v="18"/>
  </r>
  <r>
    <n v="19320"/>
    <x v="18"/>
  </r>
  <r>
    <n v="812"/>
    <x v="19"/>
  </r>
  <r>
    <n v="5372"/>
    <x v="19"/>
  </r>
  <r>
    <n v="16135"/>
    <x v="19"/>
  </r>
  <r>
    <n v="20992"/>
    <x v="19"/>
  </r>
  <r>
    <n v="1169"/>
    <x v="20"/>
  </r>
  <r>
    <n v="21264"/>
    <x v="20"/>
  </r>
  <r>
    <n v="21320"/>
    <x v="20"/>
  </r>
  <r>
    <n v="5800"/>
    <x v="20"/>
  </r>
  <r>
    <n v="9708"/>
    <x v="20"/>
  </r>
  <r>
    <n v="7040"/>
    <x v="21"/>
  </r>
  <r>
    <n v="2406"/>
    <x v="21"/>
  </r>
  <r>
    <n v="26256"/>
    <x v="21"/>
  </r>
  <r>
    <n v="706"/>
    <x v="21"/>
  </r>
  <r>
    <n v="29430"/>
    <x v="22"/>
  </r>
  <r>
    <n v="4794"/>
    <x v="22"/>
  </r>
  <r>
    <n v="3717"/>
    <x v="22"/>
  </r>
  <r>
    <n v="1160"/>
    <x v="22"/>
  </r>
  <r>
    <m/>
    <x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n v="26199"/>
    <n v="5239.8"/>
  </r>
  <r>
    <x v="0"/>
    <n v="11752"/>
    <n v="2351.4"/>
  </r>
  <r>
    <x v="0"/>
    <n v="4172"/>
    <n v="835.40000000000009"/>
  </r>
  <r>
    <x v="0"/>
    <n v="246"/>
    <n v="50.2"/>
  </r>
  <r>
    <x v="0"/>
    <n v="23233"/>
    <n v="4647.6000000000004"/>
  </r>
  <r>
    <x v="1"/>
    <n v="21077"/>
    <n v="4216.4000000000005"/>
  </r>
  <r>
    <x v="1"/>
    <n v="14672"/>
    <n v="2935.4"/>
  </r>
  <r>
    <x v="1"/>
    <n v="9715"/>
    <n v="1944"/>
  </r>
  <r>
    <x v="1"/>
    <n v="1764"/>
    <n v="353.8"/>
  </r>
  <r>
    <x v="2"/>
    <n v="24608"/>
    <n v="4922.6000000000004"/>
  </r>
  <r>
    <x v="2"/>
    <n v="12354"/>
    <n v="2471.8000000000002"/>
  </r>
  <r>
    <x v="2"/>
    <n v="7455"/>
    <n v="1492"/>
  </r>
  <r>
    <x v="2"/>
    <n v="3019"/>
    <n v="604.80000000000007"/>
  </r>
  <r>
    <x v="3"/>
    <n v="14508"/>
    <n v="2902.6000000000004"/>
  </r>
  <r>
    <x v="3"/>
    <n v="9510"/>
    <n v="1903"/>
  </r>
  <r>
    <x v="3"/>
    <n v="12483"/>
    <n v="2497.6000000000004"/>
  </r>
  <r>
    <x v="3"/>
    <n v="3469"/>
    <n v="694.80000000000007"/>
  </r>
  <r>
    <x v="3"/>
    <n v="1810"/>
    <n v="363"/>
  </r>
  <r>
    <x v="4"/>
    <n v="5061"/>
    <n v="1013.2"/>
  </r>
  <r>
    <x v="4"/>
    <n v="7812"/>
    <n v="1563.4"/>
  </r>
  <r>
    <x v="4"/>
    <n v="33687"/>
    <n v="6738.4000000000005"/>
  </r>
  <r>
    <x v="4"/>
    <n v="6447"/>
    <n v="1290.4000000000001"/>
  </r>
  <r>
    <x v="5"/>
    <n v="26761"/>
    <n v="5353.2000000000007"/>
  </r>
  <r>
    <x v="5"/>
    <n v="4648"/>
    <n v="930.6"/>
  </r>
  <r>
    <x v="5"/>
    <n v="12832"/>
    <n v="2567.4"/>
  </r>
  <r>
    <x v="5"/>
    <n v="16760"/>
    <n v="3353"/>
  </r>
  <r>
    <x v="6"/>
    <n v="10780"/>
    <n v="2157"/>
  </r>
  <r>
    <x v="6"/>
    <n v="22890"/>
    <n v="4579"/>
  </r>
  <r>
    <x v="6"/>
    <n v="12474"/>
    <n v="2495.8000000000002"/>
  </r>
  <r>
    <x v="6"/>
    <n v="9420"/>
    <n v="1885"/>
  </r>
  <r>
    <x v="6"/>
    <n v="8778"/>
    <n v="1756.6000000000001"/>
  </r>
  <r>
    <x v="7"/>
    <n v="13797"/>
    <n v="2760.4"/>
  </r>
  <r>
    <x v="7"/>
    <n v="19746"/>
    <n v="3950.2000000000003"/>
  </r>
  <r>
    <x v="7"/>
    <n v="3592"/>
    <n v="719.40000000000009"/>
  </r>
  <r>
    <x v="7"/>
    <n v="36819"/>
    <n v="7364.8"/>
  </r>
  <r>
    <x v="8"/>
    <n v="24115"/>
    <n v="4824"/>
  </r>
  <r>
    <x v="8"/>
    <n v="28692"/>
    <n v="5739.4000000000005"/>
  </r>
  <r>
    <x v="8"/>
    <n v="6992"/>
    <n v="1399.4"/>
  </r>
  <r>
    <x v="8"/>
    <n v="10815"/>
    <n v="2164"/>
  </r>
  <r>
    <x v="9"/>
    <n v="38691"/>
    <n v="7739.2000000000007"/>
  </r>
  <r>
    <x v="9"/>
    <n v="28161"/>
    <n v="5633.2000000000007"/>
  </r>
  <r>
    <x v="9"/>
    <n v="353"/>
    <n v="71.600000000000009"/>
  </r>
  <r>
    <x v="9"/>
    <n v="3283"/>
    <n v="657.6"/>
  </r>
  <r>
    <x v="9"/>
    <n v="23913"/>
    <n v="4783.6000000000004"/>
  </r>
  <r>
    <x v="10"/>
    <n v="1782"/>
    <n v="357.40000000000003"/>
  </r>
  <r>
    <x v="10"/>
    <n v="9200"/>
    <n v="1841"/>
  </r>
  <r>
    <x v="10"/>
    <n v="27549"/>
    <n v="5510.8"/>
  </r>
  <r>
    <x v="10"/>
    <n v="13599"/>
    <n v="2720.8"/>
  </r>
  <r>
    <x v="11"/>
    <n v="27139"/>
    <n v="5428.8"/>
  </r>
  <r>
    <x v="11"/>
    <n v="17814"/>
    <n v="3563.8"/>
  </r>
  <r>
    <x v="11"/>
    <n v="26672"/>
    <n v="5335.4000000000005"/>
  </r>
  <r>
    <x v="11"/>
    <n v="35019"/>
    <n v="7004.8"/>
  </r>
  <r>
    <x v="11"/>
    <n v="5280"/>
    <n v="1057"/>
  </r>
  <r>
    <x v="12"/>
    <n v="4167"/>
    <n v="834.40000000000009"/>
  </r>
  <r>
    <x v="12"/>
    <n v="780"/>
    <n v="157"/>
  </r>
  <r>
    <x v="12"/>
    <n v="36744"/>
    <n v="7349.8"/>
  </r>
  <r>
    <x v="12"/>
    <n v="8400"/>
    <n v="1681"/>
  </r>
  <r>
    <x v="13"/>
    <n v="32696"/>
    <n v="6540.2000000000007"/>
  </r>
  <r>
    <x v="13"/>
    <n v="14643"/>
    <n v="2929.6000000000004"/>
  </r>
  <r>
    <x v="13"/>
    <n v="5272"/>
    <n v="1055.4000000000001"/>
  </r>
  <r>
    <x v="13"/>
    <n v="4596"/>
    <n v="920.2"/>
  </r>
  <r>
    <x v="14"/>
    <n v="4835"/>
    <n v="968"/>
  </r>
  <r>
    <x v="14"/>
    <n v="12816"/>
    <n v="2564.2000000000003"/>
  </r>
  <r>
    <x v="14"/>
    <n v="19845"/>
    <n v="3970"/>
  </r>
  <r>
    <x v="14"/>
    <n v="9310"/>
    <n v="1863"/>
  </r>
  <r>
    <x v="15"/>
    <n v="3162"/>
    <n v="633.40000000000009"/>
  </r>
  <r>
    <x v="15"/>
    <n v="4665"/>
    <n v="934"/>
  </r>
  <r>
    <x v="15"/>
    <n v="17730"/>
    <n v="3547"/>
  </r>
  <r>
    <x v="15"/>
    <n v="1145"/>
    <n v="230"/>
  </r>
  <r>
    <x v="15"/>
    <n v="14344"/>
    <n v="2869.8"/>
  </r>
  <r>
    <x v="16"/>
    <n v="3536"/>
    <n v="708.2"/>
  </r>
  <r>
    <x v="16"/>
    <n v="662"/>
    <n v="133.4"/>
  </r>
  <r>
    <x v="16"/>
    <n v="5170"/>
    <n v="1035"/>
  </r>
  <r>
    <x v="16"/>
    <n v="6908"/>
    <n v="1382.6000000000001"/>
  </r>
  <r>
    <x v="17"/>
    <n v="1950"/>
    <n v="391"/>
  </r>
  <r>
    <x v="17"/>
    <n v="34951"/>
    <n v="6991.2000000000007"/>
  </r>
  <r>
    <x v="17"/>
    <n v="5295"/>
    <n v="1060"/>
  </r>
  <r>
    <x v="17"/>
    <n v="4648"/>
    <n v="930.6"/>
  </r>
  <r>
    <x v="18"/>
    <n v="3167"/>
    <n v="634.40000000000009"/>
  </r>
  <r>
    <x v="18"/>
    <n v="2745"/>
    <n v="550"/>
  </r>
  <r>
    <x v="18"/>
    <n v="9708"/>
    <n v="1942.6000000000001"/>
  </r>
  <r>
    <x v="18"/>
    <n v="23710"/>
    <n v="4743"/>
  </r>
  <r>
    <x v="18"/>
    <n v="19320"/>
    <n v="3865"/>
  </r>
  <r>
    <x v="19"/>
    <n v="812"/>
    <n v="163.4"/>
  </r>
  <r>
    <x v="19"/>
    <n v="5372"/>
    <n v="1075.4000000000001"/>
  </r>
  <r>
    <x v="19"/>
    <n v="16135"/>
    <n v="3228"/>
  </r>
  <r>
    <x v="19"/>
    <n v="20992"/>
    <n v="4199.4000000000005"/>
  </r>
  <r>
    <x v="20"/>
    <n v="1169"/>
    <n v="234.8"/>
  </r>
  <r>
    <x v="20"/>
    <n v="21264"/>
    <n v="4253.8"/>
  </r>
  <r>
    <x v="20"/>
    <n v="21320"/>
    <n v="4265"/>
  </r>
  <r>
    <x v="20"/>
    <n v="5800"/>
    <n v="1161"/>
  </r>
  <r>
    <x v="20"/>
    <n v="9708"/>
    <n v="1942.6000000000001"/>
  </r>
  <r>
    <x v="21"/>
    <n v="7040"/>
    <n v="1409"/>
  </r>
  <r>
    <x v="21"/>
    <n v="2406"/>
    <n v="482.20000000000005"/>
  </r>
  <r>
    <x v="21"/>
    <n v="26256"/>
    <n v="5252.2000000000007"/>
  </r>
  <r>
    <x v="21"/>
    <n v="706"/>
    <n v="142.20000000000002"/>
  </r>
  <r>
    <x v="22"/>
    <n v="29430"/>
    <n v="5887"/>
  </r>
  <r>
    <x v="22"/>
    <n v="4794"/>
    <n v="959.80000000000007"/>
  </r>
  <r>
    <x v="22"/>
    <n v="3717"/>
    <n v="744.40000000000009"/>
  </r>
  <r>
    <x v="22"/>
    <n v="1160"/>
    <n v="233"/>
  </r>
  <r>
    <x v="2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CUST1000"/>
    <s v="Priya"/>
    <n v="56"/>
    <s v="Male"/>
    <s v="Hyderabad"/>
    <s v="Toys"/>
    <x v="0"/>
    <n v="9"/>
    <n v="2911"/>
    <x v="0"/>
    <x v="0"/>
    <n v="5"/>
    <n v="3.94"/>
    <s v="Toys"/>
    <s v="2022-01"/>
    <n v="26199"/>
    <n v="5239.8"/>
  </r>
  <r>
    <s v="CUST1001"/>
    <s v="Amit"/>
    <n v="46"/>
    <s v="Female"/>
    <s v="Pune"/>
    <s v="Toys"/>
    <x v="1"/>
    <n v="8"/>
    <n v="1469"/>
    <x v="1"/>
    <x v="1"/>
    <n v="5"/>
    <n v="20.72"/>
    <s v="Toys"/>
    <s v="2022-01"/>
    <n v="11752"/>
    <n v="2351.4"/>
  </r>
  <r>
    <s v="CUST1002"/>
    <s v="Arjun"/>
    <n v="32"/>
    <s v="Female"/>
    <s v="Bangalore"/>
    <s v="Toys"/>
    <x v="2"/>
    <n v="2"/>
    <n v="2086"/>
    <x v="2"/>
    <x v="2"/>
    <n v="1"/>
    <n v="9.7899999999999991"/>
    <s v="Toys"/>
    <s v="2022-01"/>
    <n v="4172"/>
    <n v="835.40000000000009"/>
  </r>
  <r>
    <s v="CUST1003"/>
    <s v="Neha"/>
    <n v="25"/>
    <s v="Female"/>
    <s v="Kolkata"/>
    <s v="Groceries"/>
    <x v="0"/>
    <n v="1"/>
    <n v="246"/>
    <x v="3"/>
    <x v="3"/>
    <n v="3"/>
    <n v="18.309999999999999"/>
    <s v="Groceries"/>
    <s v="2022-01"/>
    <n v="246"/>
    <n v="50.2"/>
  </r>
  <r>
    <s v="CUST1004"/>
    <s v="Neha"/>
    <n v="38"/>
    <s v="Female"/>
    <s v="Kolkata"/>
    <s v="Groceries"/>
    <x v="2"/>
    <n v="7"/>
    <n v="3319"/>
    <x v="4"/>
    <x v="3"/>
    <n v="2"/>
    <n v="27.9"/>
    <s v="Groceries"/>
    <s v="2022-01"/>
    <n v="23233"/>
    <n v="4647.6000000000004"/>
  </r>
  <r>
    <s v="CUST1005"/>
    <s v="Ravi"/>
    <n v="56"/>
    <s v="Male"/>
    <s v="Delhi"/>
    <s v="Clothing"/>
    <x v="3"/>
    <n v="7"/>
    <n v="3011"/>
    <x v="5"/>
    <x v="0"/>
    <n v="1"/>
    <n v="13.95"/>
    <s v="Clothing"/>
    <s v="2022-02"/>
    <n v="21077"/>
    <n v="4216.4000000000005"/>
  </r>
  <r>
    <s v="CUST1006"/>
    <s v="Priya"/>
    <n v="36"/>
    <s v="Male"/>
    <s v="Mumbai"/>
    <s v="Books"/>
    <x v="3"/>
    <n v="8"/>
    <n v="1834"/>
    <x v="6"/>
    <x v="2"/>
    <n v="2"/>
    <n v="24.58"/>
    <s v="Books"/>
    <s v="2022-02"/>
    <n v="14672"/>
    <n v="2935.4"/>
  </r>
  <r>
    <s v="CUST1007"/>
    <s v="Pooja"/>
    <n v="40"/>
    <s v="Female"/>
    <s v="Mumbai"/>
    <s v="Books"/>
    <x v="4"/>
    <n v="5"/>
    <n v="1943"/>
    <x v="7"/>
    <x v="2"/>
    <n v="2"/>
    <n v="13.24"/>
    <s v="Books"/>
    <s v="2022-02"/>
    <n v="9715"/>
    <n v="1944"/>
  </r>
  <r>
    <s v="CUST1008"/>
    <s v="Priya"/>
    <n v="28"/>
    <s v="Male"/>
    <s v="Mumbai"/>
    <s v="Groceries"/>
    <x v="2"/>
    <n v="3"/>
    <n v="588"/>
    <x v="8"/>
    <x v="2"/>
    <n v="3"/>
    <n v="18.600000000000001"/>
    <s v="Groceries"/>
    <s v="2022-02"/>
    <n v="1764"/>
    <n v="353.8"/>
  </r>
  <r>
    <s v="CUST1009"/>
    <s v="Sanjay"/>
    <n v="28"/>
    <s v="Male"/>
    <s v="Chennai"/>
    <s v="Clothing"/>
    <x v="5"/>
    <n v="8"/>
    <n v="3076"/>
    <x v="9"/>
    <x v="1"/>
    <n v="2"/>
    <n v="25.55"/>
    <s v="Clothing"/>
    <s v="2022-03"/>
    <n v="24608"/>
    <n v="4922.6000000000004"/>
  </r>
  <r>
    <s v="CUST1010"/>
    <s v="Meena"/>
    <n v="41"/>
    <s v="Male"/>
    <s v="Hyderabad"/>
    <s v="Groceries"/>
    <x v="6"/>
    <n v="6"/>
    <n v="2059"/>
    <x v="10"/>
    <x v="3"/>
    <n v="2"/>
    <n v="23.54"/>
    <s v="Groceries"/>
    <s v="2022-03"/>
    <n v="12354"/>
    <n v="2471.8000000000002"/>
  </r>
  <r>
    <s v="CUST1011"/>
    <s v="Amit"/>
    <n v="53"/>
    <s v="Male"/>
    <s v="Mumbai"/>
    <s v="Furniture"/>
    <x v="7"/>
    <n v="3"/>
    <n v="2485"/>
    <x v="11"/>
    <x v="2"/>
    <n v="3"/>
    <n v="9.66"/>
    <s v="Furniture"/>
    <s v="2022-03"/>
    <n v="7455"/>
    <n v="1492"/>
  </r>
  <r>
    <s v="CUST1012"/>
    <s v="Amit"/>
    <n v="57"/>
    <s v="Male"/>
    <s v="Hyderabad"/>
    <s v="Clothing"/>
    <x v="8"/>
    <n v="1"/>
    <n v="3019"/>
    <x v="12"/>
    <x v="1"/>
    <n v="2"/>
    <n v="29.58"/>
    <s v="Clothing"/>
    <s v="2022-03"/>
    <n v="3019"/>
    <n v="604.80000000000007"/>
  </r>
  <r>
    <s v="CUST1013"/>
    <s v="Priya"/>
    <n v="41"/>
    <s v="Female"/>
    <s v="Mumbai"/>
    <s v="Books"/>
    <x v="3"/>
    <n v="3"/>
    <n v="4836"/>
    <x v="13"/>
    <x v="4"/>
    <n v="2"/>
    <n v="4.7"/>
    <s v="Books"/>
    <s v="2022-04"/>
    <n v="14508"/>
    <n v="2902.6000000000004"/>
  </r>
  <r>
    <s v="CUST1014"/>
    <s v="Neha"/>
    <n v="20"/>
    <s v="Male"/>
    <s v="Bangalore"/>
    <s v="Books"/>
    <x v="8"/>
    <n v="5"/>
    <n v="1902"/>
    <x v="14"/>
    <x v="0"/>
    <n v="2"/>
    <n v="16.64"/>
    <s v="Books"/>
    <s v="2022-04"/>
    <n v="9510"/>
    <n v="1903"/>
  </r>
  <r>
    <s v="CUST1015"/>
    <s v="Neha"/>
    <n v="39"/>
    <s v="Female"/>
    <s v="Hyderabad"/>
    <s v="Groceries"/>
    <x v="8"/>
    <n v="3"/>
    <n v="4161"/>
    <x v="15"/>
    <x v="3"/>
    <n v="1"/>
    <n v="15.03"/>
    <s v="Groceries"/>
    <s v="2022-04"/>
    <n v="12483"/>
    <n v="2497.6000000000004"/>
  </r>
  <r>
    <s v="CUST1016"/>
    <s v="Pooja"/>
    <n v="19"/>
    <s v="Female"/>
    <s v="Mumbai"/>
    <s v="Furniture"/>
    <x v="6"/>
    <n v="1"/>
    <n v="3469"/>
    <x v="16"/>
    <x v="3"/>
    <n v="1"/>
    <n v="23.06"/>
    <s v="Furniture"/>
    <s v="2022-04"/>
    <n v="3469"/>
    <n v="694.80000000000007"/>
  </r>
  <r>
    <s v="CUST1017"/>
    <s v="Sanjay"/>
    <n v="41"/>
    <s v="Female"/>
    <s v="Kolkata"/>
    <s v="Groceries"/>
    <x v="0"/>
    <n v="5"/>
    <n v="362"/>
    <x v="17"/>
    <x v="0"/>
    <n v="1"/>
    <n v="22.85"/>
    <s v="Groceries"/>
    <s v="2022-04"/>
    <n v="1810"/>
    <n v="363"/>
  </r>
  <r>
    <s v="CUST1018"/>
    <s v="Amit"/>
    <n v="47"/>
    <s v="Female"/>
    <s v="Delhi"/>
    <s v="Electronics"/>
    <x v="8"/>
    <n v="7"/>
    <n v="723"/>
    <x v="18"/>
    <x v="4"/>
    <n v="3"/>
    <n v="28.77"/>
    <s v="Electronics"/>
    <s v="2022-05"/>
    <n v="5061"/>
    <n v="1013.2"/>
  </r>
  <r>
    <s v="CUST1019"/>
    <s v="Pooja"/>
    <n v="55"/>
    <s v="Male"/>
    <s v="Hyderabad"/>
    <s v="Electronics"/>
    <x v="2"/>
    <n v="7"/>
    <n v="1116"/>
    <x v="19"/>
    <x v="1"/>
    <n v="5"/>
    <n v="28.9"/>
    <s v="Electronics"/>
    <s v="2022-05"/>
    <n v="7812"/>
    <n v="1563.4"/>
  </r>
  <r>
    <s v="CUST1020"/>
    <s v="Neha"/>
    <n v="19"/>
    <s v="Male"/>
    <s v="Kolkata"/>
    <s v="Furniture"/>
    <x v="6"/>
    <n v="9"/>
    <n v="3743"/>
    <x v="20"/>
    <x v="0"/>
    <n v="2"/>
    <n v="25.55"/>
    <s v="Furniture"/>
    <s v="2022-05"/>
    <n v="33687"/>
    <n v="6738.4000000000005"/>
  </r>
  <r>
    <s v="CUST1021"/>
    <s v="Pooja"/>
    <n v="38"/>
    <s v="Female"/>
    <s v="Kolkata"/>
    <s v="Toys"/>
    <x v="3"/>
    <n v="3"/>
    <n v="2149"/>
    <x v="21"/>
    <x v="1"/>
    <n v="2"/>
    <n v="15.52"/>
    <s v="Toys"/>
    <s v="2022-05"/>
    <n v="6447"/>
    <n v="1290.4000000000001"/>
  </r>
  <r>
    <s v="CUST1022"/>
    <s v="Meena"/>
    <n v="50"/>
    <s v="Female"/>
    <s v="Kolkata"/>
    <s v="Toys"/>
    <x v="1"/>
    <n v="7"/>
    <n v="3823"/>
    <x v="22"/>
    <x v="1"/>
    <n v="3"/>
    <n v="10.29"/>
    <s v="Toys"/>
    <s v="2022-06"/>
    <n v="26761"/>
    <n v="5353.2000000000007"/>
  </r>
  <r>
    <s v="CUST1023"/>
    <s v="Neha"/>
    <n v="29"/>
    <s v="Male"/>
    <s v="Chennai"/>
    <s v="Electronics"/>
    <x v="8"/>
    <n v="1"/>
    <n v="4648"/>
    <x v="23"/>
    <x v="1"/>
    <n v="2"/>
    <n v="5.42"/>
    <s v="Electronics"/>
    <s v="2022-06"/>
    <n v="4648"/>
    <n v="930.6"/>
  </r>
  <r>
    <s v="CUST1024"/>
    <s v="Vikram"/>
    <n v="39"/>
    <s v="Female"/>
    <s v="Delhi"/>
    <s v="Electronics"/>
    <x v="4"/>
    <n v="4"/>
    <n v="3208"/>
    <x v="24"/>
    <x v="4"/>
    <n v="1"/>
    <n v="2.54"/>
    <s v="Electronics"/>
    <s v="2022-06"/>
    <n v="12832"/>
    <n v="2567.4"/>
  </r>
  <r>
    <s v="CUST1025"/>
    <s v="Sanjay"/>
    <n v="42"/>
    <s v="Female"/>
    <s v="Delhi"/>
    <s v="Toys"/>
    <x v="6"/>
    <n v="4"/>
    <n v="4190"/>
    <x v="25"/>
    <x v="4"/>
    <n v="5"/>
    <n v="14.07"/>
    <s v="Toys"/>
    <s v="2022-06"/>
    <n v="16760"/>
    <n v="3353"/>
  </r>
  <r>
    <s v="CUST1026"/>
    <s v="Arjun"/>
    <n v="44"/>
    <s v="Male"/>
    <s v="Pune"/>
    <s v="Clothing"/>
    <x v="0"/>
    <n v="5"/>
    <n v="2156"/>
    <x v="26"/>
    <x v="1"/>
    <n v="4"/>
    <n v="10.52"/>
    <s v="Clothing"/>
    <s v="2022-07"/>
    <n v="10780"/>
    <n v="2157"/>
  </r>
  <r>
    <s v="CUST1027"/>
    <s v="Amit"/>
    <n v="59"/>
    <s v="Female"/>
    <s v="Chennai"/>
    <s v="Toys"/>
    <x v="9"/>
    <n v="7"/>
    <n v="3270"/>
    <x v="27"/>
    <x v="2"/>
    <n v="2"/>
    <n v="6.42"/>
    <s v="Toys"/>
    <s v="2022-07"/>
    <n v="22890"/>
    <n v="4579"/>
  </r>
  <r>
    <s v="CUST1028"/>
    <s v="Ravi"/>
    <n v="45"/>
    <s v="Male"/>
    <s v="Kolkata"/>
    <s v="Groceries"/>
    <x v="3"/>
    <n v="7"/>
    <n v="1782"/>
    <x v="28"/>
    <x v="3"/>
    <n v="1"/>
    <n v="12.81"/>
    <s v="Groceries"/>
    <s v="2022-07"/>
    <n v="12474"/>
    <n v="2495.8000000000002"/>
  </r>
  <r>
    <s v="CUST1029"/>
    <s v="Meena"/>
    <n v="33"/>
    <s v="Female"/>
    <s v="Delhi"/>
    <s v="Clothing"/>
    <x v="3"/>
    <n v="4"/>
    <n v="2355"/>
    <x v="29"/>
    <x v="4"/>
    <n v="4"/>
    <n v="21.92"/>
    <s v="Clothing"/>
    <s v="2022-07"/>
    <n v="9420"/>
    <n v="1885"/>
  </r>
  <r>
    <s v="CUST1030"/>
    <s v="Kiran"/>
    <n v="32"/>
    <s v="Male"/>
    <s v="Delhi"/>
    <s v="Groceries"/>
    <x v="9"/>
    <n v="7"/>
    <n v="1254"/>
    <x v="30"/>
    <x v="2"/>
    <n v="5"/>
    <n v="10.11"/>
    <s v="Groceries"/>
    <s v="2022-07"/>
    <n v="8778"/>
    <n v="1756.6000000000001"/>
  </r>
  <r>
    <s v="CUST1031"/>
    <s v="Arjun"/>
    <n v="20"/>
    <s v="Male"/>
    <s v="Kolkata"/>
    <s v="Electronics"/>
    <x v="2"/>
    <n v="3"/>
    <n v="4599"/>
    <x v="31"/>
    <x v="2"/>
    <n v="4"/>
    <n v="7.18"/>
    <s v="Electronics"/>
    <s v="2022-08"/>
    <n v="13797"/>
    <n v="2760.4"/>
  </r>
  <r>
    <s v="CUST1032"/>
    <s v="Ravi"/>
    <n v="54"/>
    <s v="Female"/>
    <s v="Kolkata"/>
    <s v="Clothing"/>
    <x v="1"/>
    <n v="6"/>
    <n v="3291"/>
    <x v="32"/>
    <x v="3"/>
    <n v="1"/>
    <n v="28.97"/>
    <s v="Clothing"/>
    <s v="2022-08"/>
    <n v="19746"/>
    <n v="3950.2000000000003"/>
  </r>
  <r>
    <s v="CUST1033"/>
    <s v="Neha"/>
    <n v="24"/>
    <s v="Male"/>
    <s v="Mumbai"/>
    <s v="Groceries"/>
    <x v="3"/>
    <n v="2"/>
    <n v="1796"/>
    <x v="33"/>
    <x v="1"/>
    <n v="4"/>
    <n v="6.33"/>
    <s v="Groceries"/>
    <s v="2022-08"/>
    <n v="3592"/>
    <n v="719.40000000000009"/>
  </r>
  <r>
    <s v="CUST1034"/>
    <s v="Kiran"/>
    <n v="38"/>
    <s v="Male"/>
    <s v="Mumbai"/>
    <s v="Groceries"/>
    <x v="3"/>
    <n v="9"/>
    <n v="4091"/>
    <x v="34"/>
    <x v="2"/>
    <n v="3"/>
    <n v="3.86"/>
    <s v="Groceries"/>
    <s v="2022-08"/>
    <n v="36819"/>
    <n v="7364.8"/>
  </r>
  <r>
    <s v="CUST1035"/>
    <s v="Priya"/>
    <n v="26"/>
    <s v="Female"/>
    <s v="Hyderabad"/>
    <s v="Clothing"/>
    <x v="0"/>
    <n v="5"/>
    <n v="4823"/>
    <x v="35"/>
    <x v="2"/>
    <n v="4"/>
    <n v="5.75"/>
    <s v="Clothing"/>
    <s v="2022-09"/>
    <n v="24115"/>
    <n v="4824"/>
  </r>
  <r>
    <s v="CUST1036"/>
    <s v="Priya"/>
    <n v="56"/>
    <s v="Male"/>
    <s v="Hyderabad"/>
    <s v="Furniture"/>
    <x v="3"/>
    <n v="6"/>
    <n v="4782"/>
    <x v="36"/>
    <x v="2"/>
    <n v="2"/>
    <n v="20.09"/>
    <s v="Furniture"/>
    <s v="2022-09"/>
    <n v="28692"/>
    <n v="5739.4000000000005"/>
  </r>
  <r>
    <s v="CUST1037"/>
    <s v="Meena"/>
    <n v="35"/>
    <s v="Male"/>
    <s v="Hyderabad"/>
    <s v="Toys"/>
    <x v="6"/>
    <n v="4"/>
    <n v="1748"/>
    <x v="37"/>
    <x v="1"/>
    <n v="2"/>
    <n v="28.6"/>
    <s v="Toys"/>
    <s v="2022-09"/>
    <n v="6992"/>
    <n v="1399.4"/>
  </r>
  <r>
    <s v="CUST1038"/>
    <s v="Priya"/>
    <n v="21"/>
    <s v="Female"/>
    <s v="Mumbai"/>
    <s v="Books"/>
    <x v="2"/>
    <n v="7"/>
    <n v="1545"/>
    <x v="38"/>
    <x v="1"/>
    <n v="3"/>
    <n v="13.93"/>
    <s v="Books"/>
    <s v="2022-09"/>
    <n v="10815"/>
    <n v="2164"/>
  </r>
  <r>
    <s v="CUST1039"/>
    <s v="Kiran"/>
    <n v="42"/>
    <s v="Female"/>
    <s v="Kolkata"/>
    <s v="Groceries"/>
    <x v="1"/>
    <n v="9"/>
    <n v="4299"/>
    <x v="39"/>
    <x v="4"/>
    <n v="1"/>
    <n v="23.09"/>
    <s v="Groceries"/>
    <s v="2022-10"/>
    <n v="38691"/>
    <n v="7739.2000000000007"/>
  </r>
  <r>
    <s v="CUST1040"/>
    <s v="Kiran"/>
    <n v="31"/>
    <s v="Male"/>
    <s v="Hyderabad"/>
    <s v="Toys"/>
    <x v="4"/>
    <n v="7"/>
    <n v="4023"/>
    <x v="40"/>
    <x v="4"/>
    <n v="2"/>
    <n v="5.16"/>
    <s v="Toys"/>
    <s v="2022-10"/>
    <n v="28161"/>
    <n v="5633.2000000000007"/>
  </r>
  <r>
    <s v="CUST1041"/>
    <s v="Sanjay"/>
    <n v="26"/>
    <s v="Male"/>
    <s v="Delhi"/>
    <s v="Books"/>
    <x v="1"/>
    <n v="1"/>
    <n v="353"/>
    <x v="41"/>
    <x v="2"/>
    <n v="5"/>
    <n v="8.24"/>
    <s v="Books"/>
    <s v="2022-10"/>
    <n v="353"/>
    <n v="71.600000000000009"/>
  </r>
  <r>
    <s v="CUST1042"/>
    <s v="Arjun"/>
    <n v="43"/>
    <s v="Female"/>
    <s v="Mumbai"/>
    <s v="Toys"/>
    <x v="2"/>
    <n v="1"/>
    <n v="3283"/>
    <x v="42"/>
    <x v="1"/>
    <n v="2"/>
    <n v="7.71"/>
    <s v="Toys"/>
    <s v="2022-10"/>
    <n v="3283"/>
    <n v="657.6"/>
  </r>
  <r>
    <s v="CUST1043"/>
    <s v="Amit"/>
    <n v="19"/>
    <s v="Female"/>
    <s v="Hyderabad"/>
    <s v="Electronics"/>
    <x v="5"/>
    <n v="9"/>
    <n v="2657"/>
    <x v="43"/>
    <x v="1"/>
    <n v="2"/>
    <n v="3.14"/>
    <s v="Electronics"/>
    <s v="2022-10"/>
    <n v="23913"/>
    <n v="4783.6000000000004"/>
  </r>
  <r>
    <s v="CUST1044"/>
    <s v="Vikram"/>
    <n v="37"/>
    <s v="Male"/>
    <s v="Delhi"/>
    <s v="Books"/>
    <x v="6"/>
    <n v="9"/>
    <n v="198"/>
    <x v="44"/>
    <x v="3"/>
    <n v="1"/>
    <n v="27.33"/>
    <s v="Books"/>
    <s v="2022-11"/>
    <n v="1782"/>
    <n v="357.40000000000003"/>
  </r>
  <r>
    <s v="CUST1045"/>
    <s v="Pooja"/>
    <n v="45"/>
    <s v="Male"/>
    <s v="Hyderabad"/>
    <s v="Toys"/>
    <x v="5"/>
    <n v="4"/>
    <n v="2300"/>
    <x v="45"/>
    <x v="2"/>
    <n v="4"/>
    <n v="25.01"/>
    <s v="Toys"/>
    <s v="2022-11"/>
    <n v="9200"/>
    <n v="1841"/>
  </r>
  <r>
    <s v="CUST1046"/>
    <s v="Priya"/>
    <n v="24"/>
    <s v="Male"/>
    <s v="Bangalore"/>
    <s v="Groceries"/>
    <x v="2"/>
    <n v="9"/>
    <n v="3061"/>
    <x v="46"/>
    <x v="4"/>
    <n v="2"/>
    <n v="27.08"/>
    <s v="Groceries"/>
    <s v="2022-11"/>
    <n v="27549"/>
    <n v="5510.8"/>
  </r>
  <r>
    <s v="CUST1047"/>
    <s v="Meena"/>
    <n v="25"/>
    <s v="Male"/>
    <s v="Kolkata"/>
    <s v="Books"/>
    <x v="0"/>
    <n v="3"/>
    <n v="4533"/>
    <x v="47"/>
    <x v="3"/>
    <n v="3"/>
    <n v="2.4500000000000002"/>
    <s v="Books"/>
    <s v="2022-11"/>
    <n v="13599"/>
    <n v="2720.8"/>
  </r>
  <r>
    <s v="CUST1048"/>
    <s v="Priya"/>
    <n v="52"/>
    <s v="Male"/>
    <s v="Kolkata"/>
    <s v="Electronics"/>
    <x v="4"/>
    <n v="7"/>
    <n v="3877"/>
    <x v="48"/>
    <x v="1"/>
    <n v="4"/>
    <n v="26.25"/>
    <s v="Electronics"/>
    <s v="2022-12"/>
    <n v="27139"/>
    <n v="5428.8"/>
  </r>
  <r>
    <s v="CUST1049"/>
    <s v="Pooja"/>
    <n v="31"/>
    <s v="Female"/>
    <s v="Hyderabad"/>
    <s v="Clothing"/>
    <x v="1"/>
    <n v="6"/>
    <n v="2969"/>
    <x v="49"/>
    <x v="4"/>
    <n v="5"/>
    <n v="4.91"/>
    <s v="Clothing"/>
    <s v="2022-12"/>
    <n v="17814"/>
    <n v="3563.8"/>
  </r>
  <r>
    <s v="CUST1050"/>
    <s v="Arjun"/>
    <n v="34"/>
    <s v="Male"/>
    <s v="Bangalore"/>
    <s v="Groceries"/>
    <x v="8"/>
    <n v="8"/>
    <n v="3334"/>
    <x v="50"/>
    <x v="2"/>
    <n v="1"/>
    <n v="2.2799999999999998"/>
    <s v="Groceries"/>
    <s v="2022-12"/>
    <n v="26672"/>
    <n v="5335.4000000000005"/>
  </r>
  <r>
    <s v="CUST1051"/>
    <s v="Sanjay"/>
    <n v="53"/>
    <s v="Male"/>
    <s v="Hyderabad"/>
    <s v="Electronics"/>
    <x v="7"/>
    <n v="9"/>
    <n v="3891"/>
    <x v="51"/>
    <x v="1"/>
    <n v="5"/>
    <n v="28.88"/>
    <s v="Electronics"/>
    <s v="2022-12"/>
    <n v="35019"/>
    <n v="7004.8"/>
  </r>
  <r>
    <s v="CUST1052"/>
    <s v="Kiran"/>
    <n v="57"/>
    <s v="Male"/>
    <s v="Pune"/>
    <s v="Electronics"/>
    <x v="1"/>
    <n v="5"/>
    <n v="1056"/>
    <x v="52"/>
    <x v="2"/>
    <n v="4"/>
    <n v="7.71"/>
    <s v="Electronics"/>
    <s v="2022-12"/>
    <n v="5280"/>
    <n v="1057"/>
  </r>
  <r>
    <s v="CUST1053"/>
    <s v="Sanjay"/>
    <n v="21"/>
    <s v="Female"/>
    <s v="Pune"/>
    <s v="Books"/>
    <x v="0"/>
    <n v="1"/>
    <n v="4167"/>
    <x v="53"/>
    <x v="3"/>
    <n v="4"/>
    <n v="13.59"/>
    <s v="Books"/>
    <s v="2023-01"/>
    <n v="4167"/>
    <n v="834.40000000000009"/>
  </r>
  <r>
    <s v="CUST1054"/>
    <s v="Neha"/>
    <n v="19"/>
    <s v="Male"/>
    <s v="Kolkata"/>
    <s v="Toys"/>
    <x v="4"/>
    <n v="3"/>
    <n v="260"/>
    <x v="54"/>
    <x v="3"/>
    <n v="4"/>
    <n v="5.46"/>
    <s v="Toys"/>
    <s v="2023-01"/>
    <n v="780"/>
    <n v="157"/>
  </r>
  <r>
    <s v="CUST1055"/>
    <s v="Priya"/>
    <n v="23"/>
    <s v="Female"/>
    <s v="Chennai"/>
    <s v="Clothing"/>
    <x v="7"/>
    <n v="8"/>
    <n v="4593"/>
    <x v="55"/>
    <x v="3"/>
    <n v="5"/>
    <n v="3.34"/>
    <s v="Clothing"/>
    <s v="2023-01"/>
    <n v="36744"/>
    <n v="7349.8"/>
  </r>
  <r>
    <s v="CUST1056"/>
    <s v="Amit"/>
    <n v="59"/>
    <s v="Female"/>
    <s v="Pune"/>
    <s v="Groceries"/>
    <x v="6"/>
    <n v="6"/>
    <n v="1400"/>
    <x v="56"/>
    <x v="0"/>
    <n v="4"/>
    <n v="17.25"/>
    <s v="Groceries"/>
    <s v="2023-01"/>
    <n v="8400"/>
    <n v="1681"/>
  </r>
  <r>
    <s v="CUST1057"/>
    <s v="Neha"/>
    <n v="21"/>
    <s v="Male"/>
    <s v="Pune"/>
    <s v="Groceries"/>
    <x v="2"/>
    <n v="8"/>
    <n v="4087"/>
    <x v="57"/>
    <x v="2"/>
    <n v="5"/>
    <n v="28.89"/>
    <s v="Groceries"/>
    <s v="2023-02"/>
    <n v="32696"/>
    <n v="6540.2000000000007"/>
  </r>
  <r>
    <s v="CUST1058"/>
    <s v="Arjun"/>
    <n v="46"/>
    <s v="Male"/>
    <s v="Hyderabad"/>
    <s v="Toys"/>
    <x v="2"/>
    <n v="9"/>
    <n v="1627"/>
    <x v="58"/>
    <x v="3"/>
    <n v="4"/>
    <n v="13.1"/>
    <s v="Toys"/>
    <s v="2023-02"/>
    <n v="14643"/>
    <n v="2929.6000000000004"/>
  </r>
  <r>
    <s v="CUST1059"/>
    <s v="Priya"/>
    <n v="35"/>
    <s v="Female"/>
    <s v="Mumbai"/>
    <s v="Clothing"/>
    <x v="6"/>
    <n v="4"/>
    <n v="1318"/>
    <x v="59"/>
    <x v="3"/>
    <n v="3"/>
    <n v="18.399999999999999"/>
    <s v="Clothing"/>
    <s v="2023-02"/>
    <n v="5272"/>
    <n v="1055.4000000000001"/>
  </r>
  <r>
    <s v="CUST1060"/>
    <s v="Neha"/>
    <n v="43"/>
    <s v="Female"/>
    <s v="Mumbai"/>
    <s v="Books"/>
    <x v="7"/>
    <n v="1"/>
    <n v="4596"/>
    <x v="60"/>
    <x v="2"/>
    <n v="4"/>
    <n v="12.51"/>
    <s v="Books"/>
    <s v="2023-02"/>
    <n v="4596"/>
    <n v="920.2"/>
  </r>
  <r>
    <s v="CUST1061"/>
    <s v="Priya"/>
    <n v="51"/>
    <s v="Female"/>
    <s v="Bangalore"/>
    <s v="Groceries"/>
    <x v="5"/>
    <n v="1"/>
    <n v="4835"/>
    <x v="61"/>
    <x v="3"/>
    <n v="5"/>
    <n v="17.12"/>
    <s v="Groceries"/>
    <s v="2023-03"/>
    <n v="4835"/>
    <n v="968"/>
  </r>
  <r>
    <s v="CUST1062"/>
    <s v="Meena"/>
    <n v="27"/>
    <s v="Female"/>
    <s v="Mumbai"/>
    <s v="Clothing"/>
    <x v="4"/>
    <n v="4"/>
    <n v="3204"/>
    <x v="62"/>
    <x v="2"/>
    <n v="2"/>
    <n v="0.32"/>
    <s v="Clothing"/>
    <s v="2023-03"/>
    <n v="12816"/>
    <n v="2564.2000000000003"/>
  </r>
  <r>
    <s v="CUST1063"/>
    <s v="Arjun"/>
    <n v="53"/>
    <s v="Female"/>
    <s v="Delhi"/>
    <s v="Books"/>
    <x v="6"/>
    <n v="7"/>
    <n v="2835"/>
    <x v="63"/>
    <x v="1"/>
    <n v="4"/>
    <n v="10.88"/>
    <s v="Books"/>
    <s v="2023-03"/>
    <n v="19845"/>
    <n v="3970"/>
  </r>
  <r>
    <s v="CUST1064"/>
    <s v="Vikram"/>
    <n v="31"/>
    <s v="Male"/>
    <s v="Chennai"/>
    <s v="Books"/>
    <x v="7"/>
    <n v="2"/>
    <n v="4655"/>
    <x v="64"/>
    <x v="2"/>
    <n v="2"/>
    <n v="28.32"/>
    <s v="Books"/>
    <s v="2023-03"/>
    <n v="9310"/>
    <n v="1863"/>
  </r>
  <r>
    <s v="CUST1065"/>
    <s v="Kiran"/>
    <n v="48"/>
    <s v="Male"/>
    <s v="Pune"/>
    <s v="Groceries"/>
    <x v="3"/>
    <n v="3"/>
    <n v="1054"/>
    <x v="65"/>
    <x v="2"/>
    <n v="3"/>
    <n v="27.1"/>
    <s v="Groceries"/>
    <s v="2023-04"/>
    <n v="3162"/>
    <n v="633.40000000000009"/>
  </r>
  <r>
    <s v="CUST1066"/>
    <s v="Ravi"/>
    <n v="32"/>
    <s v="Male"/>
    <s v="Chennai"/>
    <s v="Toys"/>
    <x v="1"/>
    <n v="1"/>
    <n v="4665"/>
    <x v="66"/>
    <x v="0"/>
    <n v="1"/>
    <n v="20.18"/>
    <s v="Toys"/>
    <s v="2023-04"/>
    <n v="4665"/>
    <n v="934"/>
  </r>
  <r>
    <s v="CUST1067"/>
    <s v="Kiran"/>
    <n v="25"/>
    <s v="Male"/>
    <s v="Delhi"/>
    <s v="Furniture"/>
    <x v="0"/>
    <n v="5"/>
    <n v="3546"/>
    <x v="67"/>
    <x v="1"/>
    <n v="3"/>
    <n v="20.100000000000001"/>
    <s v="Furniture"/>
    <s v="2023-04"/>
    <n v="17730"/>
    <n v="3547"/>
  </r>
  <r>
    <s v="CUST1068"/>
    <s v="Kiran"/>
    <n v="31"/>
    <s v="Female"/>
    <s v="Pune"/>
    <s v="Groceries"/>
    <x v="6"/>
    <n v="1"/>
    <n v="1145"/>
    <x v="68"/>
    <x v="0"/>
    <n v="4"/>
    <n v="5.7"/>
    <s v="Groceries"/>
    <s v="2023-04"/>
    <n v="1145"/>
    <n v="230"/>
  </r>
  <r>
    <s v="CUST1069"/>
    <s v="Neha"/>
    <n v="40"/>
    <s v="Male"/>
    <s v="Bangalore"/>
    <s v="Electronics"/>
    <x v="0"/>
    <n v="8"/>
    <n v="1793"/>
    <x v="69"/>
    <x v="3"/>
    <n v="2"/>
    <n v="21.9"/>
    <s v="Electronics"/>
    <s v="2023-04"/>
    <n v="14344"/>
    <n v="2869.8"/>
  </r>
  <r>
    <s v="CUST1070"/>
    <s v="Arjun"/>
    <n v="57"/>
    <s v="Male"/>
    <s v="Delhi"/>
    <s v="Electronics"/>
    <x v="5"/>
    <n v="1"/>
    <n v="3536"/>
    <x v="70"/>
    <x v="2"/>
    <n v="2"/>
    <n v="9.23"/>
    <s v="Electronics"/>
    <s v="2023-05"/>
    <n v="3536"/>
    <n v="708.2"/>
  </r>
  <r>
    <s v="CUST1071"/>
    <s v="Priya"/>
    <n v="38"/>
    <s v="Male"/>
    <s v="Delhi"/>
    <s v="Books"/>
    <x v="5"/>
    <n v="1"/>
    <n v="662"/>
    <x v="71"/>
    <x v="1"/>
    <n v="5"/>
    <n v="22.21"/>
    <s v="Books"/>
    <s v="2023-05"/>
    <n v="662"/>
    <n v="133.4"/>
  </r>
  <r>
    <s v="CUST1072"/>
    <s v="Sanjay"/>
    <n v="33"/>
    <s v="Male"/>
    <s v="Chennai"/>
    <s v="Furniture"/>
    <x v="3"/>
    <n v="2"/>
    <n v="2585"/>
    <x v="72"/>
    <x v="0"/>
    <n v="2"/>
    <n v="16.36"/>
    <s v="Furniture"/>
    <s v="2023-05"/>
    <n v="5170"/>
    <n v="1035"/>
  </r>
  <r>
    <s v="CUST1073"/>
    <s v="Ravi"/>
    <n v="35"/>
    <s v="Male"/>
    <s v="Hyderabad"/>
    <s v="Groceries"/>
    <x v="2"/>
    <n v="2"/>
    <n v="3454"/>
    <x v="73"/>
    <x v="2"/>
    <n v="5"/>
    <n v="26.19"/>
    <s v="Groceries"/>
    <s v="2023-05"/>
    <n v="6908"/>
    <n v="1382.6000000000001"/>
  </r>
  <r>
    <s v="CUST1074"/>
    <s v="Pooja"/>
    <n v="41"/>
    <s v="Male"/>
    <s v="Chennai"/>
    <s v="Electronics"/>
    <x v="6"/>
    <n v="6"/>
    <n v="325"/>
    <x v="74"/>
    <x v="4"/>
    <n v="1"/>
    <n v="14.2"/>
    <s v="Electronics"/>
    <s v="2023-06"/>
    <n v="1950"/>
    <n v="391"/>
  </r>
  <r>
    <s v="CUST1075"/>
    <s v="Neha"/>
    <n v="43"/>
    <s v="Male"/>
    <s v="Kolkata"/>
    <s v="Electronics"/>
    <x v="4"/>
    <n v="7"/>
    <n v="4993"/>
    <x v="75"/>
    <x v="0"/>
    <n v="4"/>
    <n v="0.97"/>
    <s v="Electronics"/>
    <s v="2023-06"/>
    <n v="34951"/>
    <n v="6991.2000000000007"/>
  </r>
  <r>
    <s v="CUST1076"/>
    <s v="Ravi"/>
    <n v="42"/>
    <s v="Male"/>
    <s v="Chennai"/>
    <s v="Groceries"/>
    <x v="2"/>
    <n v="5"/>
    <n v="1059"/>
    <x v="76"/>
    <x v="1"/>
    <n v="5"/>
    <n v="7.86"/>
    <s v="Groceries"/>
    <s v="2023-06"/>
    <n v="5295"/>
    <n v="1060"/>
  </r>
  <r>
    <s v="CUST1077"/>
    <s v="Vikram"/>
    <n v="58"/>
    <s v="Male"/>
    <s v="Mumbai"/>
    <s v="Clothing"/>
    <x v="7"/>
    <n v="1"/>
    <n v="4648"/>
    <x v="77"/>
    <x v="0"/>
    <n v="1"/>
    <n v="2.06"/>
    <s v="Clothing"/>
    <s v="2023-06"/>
    <n v="4648"/>
    <n v="930.6"/>
  </r>
  <r>
    <s v="CUST1078"/>
    <s v="Meena"/>
    <n v="46"/>
    <s v="Female"/>
    <s v="Delhi"/>
    <s v="Books"/>
    <x v="2"/>
    <n v="1"/>
    <n v="3167"/>
    <x v="78"/>
    <x v="0"/>
    <n v="2"/>
    <n v="19.149999999999999"/>
    <s v="Books"/>
    <s v="2023-07"/>
    <n v="3167"/>
    <n v="634.40000000000009"/>
  </r>
  <r>
    <s v="CUST1079"/>
    <s v="Arjun"/>
    <n v="32"/>
    <s v="Male"/>
    <s v="Chennai"/>
    <s v="Groceries"/>
    <x v="4"/>
    <n v="3"/>
    <n v="915"/>
    <x v="79"/>
    <x v="0"/>
    <n v="2"/>
    <n v="8.7100000000000009"/>
    <s v="Groceries"/>
    <s v="2023-07"/>
    <n v="2745"/>
    <n v="550"/>
  </r>
  <r>
    <s v="CUST1080"/>
    <s v="Pooja"/>
    <n v="18"/>
    <s v="Male"/>
    <s v="Delhi"/>
    <s v="Clothing"/>
    <x v="1"/>
    <n v="2"/>
    <n v="4854"/>
    <x v="80"/>
    <x v="3"/>
    <n v="1"/>
    <n v="16.809999999999999"/>
    <s v="Clothing"/>
    <s v="2023-07"/>
    <n v="9708"/>
    <n v="1942.6000000000001"/>
  </r>
  <r>
    <s v="CUST1081"/>
    <s v="Neha"/>
    <n v="42"/>
    <s v="Female"/>
    <s v="Kolkata"/>
    <s v="Books"/>
    <x v="5"/>
    <n v="5"/>
    <n v="4742"/>
    <x v="81"/>
    <x v="4"/>
    <n v="2"/>
    <n v="4.17"/>
    <s v="Books"/>
    <s v="2023-07"/>
    <n v="23710"/>
    <n v="4743"/>
  </r>
  <r>
    <s v="CUST1082"/>
    <s v="Kiran"/>
    <n v="24"/>
    <s v="Female"/>
    <s v="Mumbai"/>
    <s v="Furniture"/>
    <x v="1"/>
    <n v="6"/>
    <n v="3220"/>
    <x v="82"/>
    <x v="1"/>
    <n v="1"/>
    <n v="0.8"/>
    <s v="Furniture"/>
    <s v="2023-07"/>
    <n v="19320"/>
    <n v="3865"/>
  </r>
  <r>
    <s v="CUST1083"/>
    <s v="Amit"/>
    <n v="26"/>
    <s v="Male"/>
    <s v="Delhi"/>
    <s v="Toys"/>
    <x v="6"/>
    <n v="7"/>
    <n v="116"/>
    <x v="83"/>
    <x v="1"/>
    <n v="5"/>
    <n v="8.27"/>
    <s v="Toys"/>
    <s v="2023-08"/>
    <n v="812"/>
    <n v="163.4"/>
  </r>
  <r>
    <s v="CUST1084"/>
    <s v="Neha"/>
    <n v="41"/>
    <s v="Male"/>
    <s v="Chennai"/>
    <s v="Books"/>
    <x v="2"/>
    <n v="4"/>
    <n v="1343"/>
    <x v="84"/>
    <x v="1"/>
    <n v="5"/>
    <n v="26.63"/>
    <s v="Books"/>
    <s v="2023-08"/>
    <n v="5372"/>
    <n v="1075.4000000000001"/>
  </r>
  <r>
    <s v="CUST1085"/>
    <s v="Amit"/>
    <n v="18"/>
    <s v="Female"/>
    <s v="Delhi"/>
    <s v="Furniture"/>
    <x v="6"/>
    <n v="7"/>
    <n v="2305"/>
    <x v="85"/>
    <x v="2"/>
    <n v="1"/>
    <n v="6.4"/>
    <s v="Furniture"/>
    <s v="2023-08"/>
    <n v="16135"/>
    <n v="3228"/>
  </r>
  <r>
    <s v="CUST1086"/>
    <s v="Kiran"/>
    <n v="25"/>
    <s v="Male"/>
    <s v="Pune"/>
    <s v="Toys"/>
    <x v="1"/>
    <n v="8"/>
    <n v="2624"/>
    <x v="86"/>
    <x v="1"/>
    <n v="5"/>
    <n v="8.9600000000000009"/>
    <s v="Toys"/>
    <s v="2023-08"/>
    <n v="20992"/>
    <n v="4199.4000000000005"/>
  </r>
  <r>
    <s v="CUST1087"/>
    <s v="Meena"/>
    <n v="41"/>
    <s v="Female"/>
    <s v="Kolkata"/>
    <s v="Electronics"/>
    <x v="5"/>
    <n v="1"/>
    <n v="1169"/>
    <x v="87"/>
    <x v="1"/>
    <n v="5"/>
    <n v="7.37"/>
    <s v="Electronics"/>
    <s v="2023-09"/>
    <n v="1169"/>
    <n v="234.8"/>
  </r>
  <r>
    <s v="CUST1088"/>
    <s v="Arjun"/>
    <n v="28"/>
    <s v="Female"/>
    <s v="Mumbai"/>
    <s v="Electronics"/>
    <x v="8"/>
    <n v="6"/>
    <n v="3544"/>
    <x v="88"/>
    <x v="4"/>
    <n v="5"/>
    <n v="24.71"/>
    <s v="Electronics"/>
    <s v="2023-09"/>
    <n v="21264"/>
    <n v="4253.8"/>
  </r>
  <r>
    <s v="CUST1089"/>
    <s v="Priya"/>
    <n v="34"/>
    <s v="Male"/>
    <s v="Hyderabad"/>
    <s v="Electronics"/>
    <x v="3"/>
    <n v="8"/>
    <n v="2665"/>
    <x v="89"/>
    <x v="2"/>
    <n v="3"/>
    <n v="24.01"/>
    <s v="Electronics"/>
    <s v="2023-09"/>
    <n v="21320"/>
    <n v="4265"/>
  </r>
  <r>
    <s v="CUST1090"/>
    <s v="Neha"/>
    <n v="25"/>
    <s v="Male"/>
    <s v="Delhi"/>
    <s v="Books"/>
    <x v="6"/>
    <n v="5"/>
    <n v="1160"/>
    <x v="90"/>
    <x v="2"/>
    <n v="4"/>
    <n v="23.28"/>
    <s v="Books"/>
    <s v="2023-09"/>
    <n v="5800"/>
    <n v="1161"/>
  </r>
  <r>
    <s v="CUST1091"/>
    <s v="Sanjay"/>
    <n v="52"/>
    <s v="Male"/>
    <s v="Chennai"/>
    <s v="Clothing"/>
    <x v="6"/>
    <n v="4"/>
    <n v="2427"/>
    <x v="91"/>
    <x v="0"/>
    <n v="2"/>
    <n v="1.32"/>
    <s v="Clothing"/>
    <s v="2023-09"/>
    <n v="9708"/>
    <n v="1942.6000000000001"/>
  </r>
  <r>
    <s v="CUST1092"/>
    <s v="Kiran"/>
    <n v="52"/>
    <s v="Female"/>
    <s v="Mumbai"/>
    <s v="Toys"/>
    <x v="8"/>
    <n v="2"/>
    <n v="3520"/>
    <x v="92"/>
    <x v="3"/>
    <n v="3"/>
    <n v="18.510000000000002"/>
    <s v="Toys"/>
    <s v="2023-10"/>
    <n v="7040"/>
    <n v="1409"/>
  </r>
  <r>
    <s v="CUST1093"/>
    <s v="Neha"/>
    <n v="50"/>
    <s v="Female"/>
    <s v="Chennai"/>
    <s v="Electronics"/>
    <x v="7"/>
    <n v="6"/>
    <n v="401"/>
    <x v="93"/>
    <x v="2"/>
    <n v="5"/>
    <n v="17.48"/>
    <s v="Electronics"/>
    <s v="2023-10"/>
    <n v="2406"/>
    <n v="482.20000000000005"/>
  </r>
  <r>
    <s v="CUST1094"/>
    <s v="Vikram"/>
    <n v="22"/>
    <s v="Female"/>
    <s v="Chennai"/>
    <s v="Groceries"/>
    <x v="7"/>
    <n v="6"/>
    <n v="4376"/>
    <x v="94"/>
    <x v="2"/>
    <n v="1"/>
    <n v="23.52"/>
    <s v="Groceries"/>
    <s v="2023-10"/>
    <n v="26256"/>
    <n v="5252.2000000000007"/>
  </r>
  <r>
    <s v="CUST1095"/>
    <s v="Meena"/>
    <n v="59"/>
    <s v="Female"/>
    <s v="Delhi"/>
    <s v="Toys"/>
    <x v="1"/>
    <n v="1"/>
    <n v="706"/>
    <x v="95"/>
    <x v="4"/>
    <n v="5"/>
    <n v="9.4600000000000009"/>
    <s v="Toys"/>
    <s v="2023-10"/>
    <n v="706"/>
    <n v="142.20000000000002"/>
  </r>
  <r>
    <s v="CUST1096"/>
    <s v="Vikram"/>
    <n v="56"/>
    <s v="Female"/>
    <s v="Chennai"/>
    <s v="Toys"/>
    <x v="6"/>
    <n v="9"/>
    <n v="3270"/>
    <x v="96"/>
    <x v="1"/>
    <n v="4"/>
    <n v="5.2"/>
    <s v="Toys"/>
    <s v="2023-11"/>
    <n v="29430"/>
    <n v="5887"/>
  </r>
  <r>
    <s v="CUST1097"/>
    <s v="Ravi"/>
    <n v="58"/>
    <s v="Male"/>
    <s v="Delhi"/>
    <s v="Clothing"/>
    <x v="5"/>
    <n v="6"/>
    <n v="799"/>
    <x v="97"/>
    <x v="2"/>
    <n v="5"/>
    <n v="12.88"/>
    <s v="Clothing"/>
    <s v="2023-11"/>
    <n v="4794"/>
    <n v="959.80000000000007"/>
  </r>
  <r>
    <s v="CUST1098"/>
    <s v="Arjun"/>
    <n v="45"/>
    <s v="Male"/>
    <s v="Hyderabad"/>
    <s v="Furniture"/>
    <x v="0"/>
    <n v="3"/>
    <n v="1239"/>
    <x v="98"/>
    <x v="2"/>
    <n v="1"/>
    <n v="12.22"/>
    <s v="Furniture"/>
    <s v="2023-11"/>
    <n v="3717"/>
    <n v="744.40000000000009"/>
  </r>
  <r>
    <s v="CUST1099"/>
    <s v="Ravi"/>
    <n v="24"/>
    <s v="Male"/>
    <s v="Pune"/>
    <s v="Clothing"/>
    <x v="1"/>
    <n v="4"/>
    <n v="290"/>
    <x v="99"/>
    <x v="3"/>
    <n v="4"/>
    <n v="20.55"/>
    <s v="Clothing"/>
    <s v="2023-11"/>
    <n v="1160"/>
    <n v="233"/>
  </r>
  <r>
    <m/>
    <m/>
    <m/>
    <m/>
    <m/>
    <m/>
    <x v="10"/>
    <m/>
    <m/>
    <x v="100"/>
    <x v="5"/>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r>
  <r>
    <x v="1"/>
  </r>
  <r>
    <x v="2"/>
  </r>
  <r>
    <x v="3"/>
  </r>
  <r>
    <x v="3"/>
  </r>
  <r>
    <x v="4"/>
  </r>
  <r>
    <x v="5"/>
  </r>
  <r>
    <x v="5"/>
  </r>
  <r>
    <x v="5"/>
  </r>
  <r>
    <x v="6"/>
  </r>
  <r>
    <x v="0"/>
  </r>
  <r>
    <x v="5"/>
  </r>
  <r>
    <x v="0"/>
  </r>
  <r>
    <x v="5"/>
  </r>
  <r>
    <x v="2"/>
  </r>
  <r>
    <x v="0"/>
  </r>
  <r>
    <x v="5"/>
  </r>
  <r>
    <x v="3"/>
  </r>
  <r>
    <x v="4"/>
  </r>
  <r>
    <x v="0"/>
  </r>
  <r>
    <x v="3"/>
  </r>
  <r>
    <x v="3"/>
  </r>
  <r>
    <x v="3"/>
  </r>
  <r>
    <x v="6"/>
  </r>
  <r>
    <x v="4"/>
  </r>
  <r>
    <x v="4"/>
  </r>
  <r>
    <x v="1"/>
  </r>
  <r>
    <x v="6"/>
  </r>
  <r>
    <x v="3"/>
  </r>
  <r>
    <x v="4"/>
  </r>
  <r>
    <x v="4"/>
  </r>
  <r>
    <x v="3"/>
  </r>
  <r>
    <x v="3"/>
  </r>
  <r>
    <x v="5"/>
  </r>
  <r>
    <x v="5"/>
  </r>
  <r>
    <x v="0"/>
  </r>
  <r>
    <x v="0"/>
  </r>
  <r>
    <x v="0"/>
  </r>
  <r>
    <x v="5"/>
  </r>
  <r>
    <x v="3"/>
  </r>
  <r>
    <x v="0"/>
  </r>
  <r>
    <x v="4"/>
  </r>
  <r>
    <x v="5"/>
  </r>
  <r>
    <x v="0"/>
  </r>
  <r>
    <x v="4"/>
  </r>
  <r>
    <x v="0"/>
  </r>
  <r>
    <x v="2"/>
  </r>
  <r>
    <x v="3"/>
  </r>
  <r>
    <x v="3"/>
  </r>
  <r>
    <x v="0"/>
  </r>
  <r>
    <x v="2"/>
  </r>
  <r>
    <x v="0"/>
  </r>
  <r>
    <x v="1"/>
  </r>
  <r>
    <x v="1"/>
  </r>
  <r>
    <x v="3"/>
  </r>
  <r>
    <x v="6"/>
  </r>
  <r>
    <x v="1"/>
  </r>
  <r>
    <x v="1"/>
  </r>
  <r>
    <x v="0"/>
  </r>
  <r>
    <x v="5"/>
  </r>
  <r>
    <x v="5"/>
  </r>
  <r>
    <x v="2"/>
  </r>
  <r>
    <x v="5"/>
  </r>
  <r>
    <x v="4"/>
  </r>
  <r>
    <x v="6"/>
  </r>
  <r>
    <x v="1"/>
  </r>
  <r>
    <x v="6"/>
  </r>
  <r>
    <x v="4"/>
  </r>
  <r>
    <x v="1"/>
  </r>
  <r>
    <x v="2"/>
  </r>
  <r>
    <x v="4"/>
  </r>
  <r>
    <x v="4"/>
  </r>
  <r>
    <x v="6"/>
  </r>
  <r>
    <x v="0"/>
  </r>
  <r>
    <x v="6"/>
  </r>
  <r>
    <x v="3"/>
  </r>
  <r>
    <x v="6"/>
  </r>
  <r>
    <x v="5"/>
  </r>
  <r>
    <x v="4"/>
  </r>
  <r>
    <x v="6"/>
  </r>
  <r>
    <x v="4"/>
  </r>
  <r>
    <x v="3"/>
  </r>
  <r>
    <x v="5"/>
  </r>
  <r>
    <x v="4"/>
  </r>
  <r>
    <x v="6"/>
  </r>
  <r>
    <x v="4"/>
  </r>
  <r>
    <x v="1"/>
  </r>
  <r>
    <x v="3"/>
  </r>
  <r>
    <x v="5"/>
  </r>
  <r>
    <x v="0"/>
  </r>
  <r>
    <x v="4"/>
  </r>
  <r>
    <x v="6"/>
  </r>
  <r>
    <x v="5"/>
  </r>
  <r>
    <x v="6"/>
  </r>
  <r>
    <x v="6"/>
  </r>
  <r>
    <x v="4"/>
  </r>
  <r>
    <x v="6"/>
  </r>
  <r>
    <x v="4"/>
  </r>
  <r>
    <x v="0"/>
  </r>
  <r>
    <x v="1"/>
  </r>
  <r>
    <x v="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r>
  <r>
    <x v="0"/>
  </r>
  <r>
    <x v="0"/>
  </r>
  <r>
    <x v="0"/>
  </r>
  <r>
    <x v="0"/>
  </r>
  <r>
    <x v="1"/>
  </r>
  <r>
    <x v="1"/>
  </r>
  <r>
    <x v="1"/>
  </r>
  <r>
    <x v="1"/>
  </r>
  <r>
    <x v="2"/>
  </r>
  <r>
    <x v="2"/>
  </r>
  <r>
    <x v="2"/>
  </r>
  <r>
    <x v="2"/>
  </r>
  <r>
    <x v="3"/>
  </r>
  <r>
    <x v="3"/>
  </r>
  <r>
    <x v="3"/>
  </r>
  <r>
    <x v="3"/>
  </r>
  <r>
    <x v="3"/>
  </r>
  <r>
    <x v="4"/>
  </r>
  <r>
    <x v="4"/>
  </r>
  <r>
    <x v="4"/>
  </r>
  <r>
    <x v="4"/>
  </r>
  <r>
    <x v="5"/>
  </r>
  <r>
    <x v="5"/>
  </r>
  <r>
    <x v="5"/>
  </r>
  <r>
    <x v="5"/>
  </r>
  <r>
    <x v="6"/>
  </r>
  <r>
    <x v="6"/>
  </r>
  <r>
    <x v="6"/>
  </r>
  <r>
    <x v="6"/>
  </r>
  <r>
    <x v="6"/>
  </r>
  <r>
    <x v="7"/>
  </r>
  <r>
    <x v="7"/>
  </r>
  <r>
    <x v="7"/>
  </r>
  <r>
    <x v="7"/>
  </r>
  <r>
    <x v="8"/>
  </r>
  <r>
    <x v="8"/>
  </r>
  <r>
    <x v="8"/>
  </r>
  <r>
    <x v="8"/>
  </r>
  <r>
    <x v="9"/>
  </r>
  <r>
    <x v="9"/>
  </r>
  <r>
    <x v="9"/>
  </r>
  <r>
    <x v="9"/>
  </r>
  <r>
    <x v="9"/>
  </r>
  <r>
    <x v="10"/>
  </r>
  <r>
    <x v="10"/>
  </r>
  <r>
    <x v="10"/>
  </r>
  <r>
    <x v="10"/>
  </r>
  <r>
    <x v="11"/>
  </r>
  <r>
    <x v="11"/>
  </r>
  <r>
    <x v="11"/>
  </r>
  <r>
    <x v="11"/>
  </r>
  <r>
    <x v="11"/>
  </r>
  <r>
    <x v="12"/>
  </r>
  <r>
    <x v="12"/>
  </r>
  <r>
    <x v="12"/>
  </r>
  <r>
    <x v="12"/>
  </r>
  <r>
    <x v="13"/>
  </r>
  <r>
    <x v="13"/>
  </r>
  <r>
    <x v="13"/>
  </r>
  <r>
    <x v="13"/>
  </r>
  <r>
    <x v="14"/>
  </r>
  <r>
    <x v="14"/>
  </r>
  <r>
    <x v="14"/>
  </r>
  <r>
    <x v="14"/>
  </r>
  <r>
    <x v="15"/>
  </r>
  <r>
    <x v="15"/>
  </r>
  <r>
    <x v="15"/>
  </r>
  <r>
    <x v="15"/>
  </r>
  <r>
    <x v="15"/>
  </r>
  <r>
    <x v="16"/>
  </r>
  <r>
    <x v="16"/>
  </r>
  <r>
    <x v="16"/>
  </r>
  <r>
    <x v="16"/>
  </r>
  <r>
    <x v="17"/>
  </r>
  <r>
    <x v="17"/>
  </r>
  <r>
    <x v="17"/>
  </r>
  <r>
    <x v="17"/>
  </r>
  <r>
    <x v="18"/>
  </r>
  <r>
    <x v="18"/>
  </r>
  <r>
    <x v="18"/>
  </r>
  <r>
    <x v="18"/>
  </r>
  <r>
    <x v="18"/>
  </r>
  <r>
    <x v="19"/>
  </r>
  <r>
    <x v="19"/>
  </r>
  <r>
    <x v="19"/>
  </r>
  <r>
    <x v="19"/>
  </r>
  <r>
    <x v="20"/>
  </r>
  <r>
    <x v="20"/>
  </r>
  <r>
    <x v="20"/>
  </r>
  <r>
    <x v="20"/>
  </r>
  <r>
    <x v="20"/>
  </r>
  <r>
    <x v="21"/>
  </r>
  <r>
    <x v="21"/>
  </r>
  <r>
    <x v="21"/>
  </r>
  <r>
    <x v="21"/>
  </r>
  <r>
    <x v="22"/>
  </r>
  <r>
    <x v="22"/>
  </r>
  <r>
    <x v="22"/>
  </r>
  <r>
    <x v="22"/>
  </r>
  <r>
    <x v="2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r>
  <r>
    <x v="0"/>
  </r>
  <r>
    <x v="0"/>
  </r>
  <r>
    <x v="1"/>
  </r>
  <r>
    <x v="1"/>
  </r>
  <r>
    <x v="2"/>
  </r>
  <r>
    <x v="3"/>
  </r>
  <r>
    <x v="3"/>
  </r>
  <r>
    <x v="1"/>
  </r>
  <r>
    <x v="2"/>
  </r>
  <r>
    <x v="1"/>
  </r>
  <r>
    <x v="4"/>
  </r>
  <r>
    <x v="2"/>
  </r>
  <r>
    <x v="3"/>
  </r>
  <r>
    <x v="3"/>
  </r>
  <r>
    <x v="1"/>
  </r>
  <r>
    <x v="4"/>
  </r>
  <r>
    <x v="1"/>
  </r>
  <r>
    <x v="5"/>
  </r>
  <r>
    <x v="5"/>
  </r>
  <r>
    <x v="4"/>
  </r>
  <r>
    <x v="0"/>
  </r>
  <r>
    <x v="0"/>
  </r>
  <r>
    <x v="5"/>
  </r>
  <r>
    <x v="5"/>
  </r>
  <r>
    <x v="0"/>
  </r>
  <r>
    <x v="2"/>
  </r>
  <r>
    <x v="0"/>
  </r>
  <r>
    <x v="1"/>
  </r>
  <r>
    <x v="2"/>
  </r>
  <r>
    <x v="1"/>
  </r>
  <r>
    <x v="5"/>
  </r>
  <r>
    <x v="2"/>
  </r>
  <r>
    <x v="1"/>
  </r>
  <r>
    <x v="1"/>
  </r>
  <r>
    <x v="2"/>
  </r>
  <r>
    <x v="4"/>
  </r>
  <r>
    <x v="0"/>
  </r>
  <r>
    <x v="3"/>
  </r>
  <r>
    <x v="1"/>
  </r>
  <r>
    <x v="0"/>
  </r>
  <r>
    <x v="3"/>
  </r>
  <r>
    <x v="0"/>
  </r>
  <r>
    <x v="5"/>
  </r>
  <r>
    <x v="3"/>
  </r>
  <r>
    <x v="0"/>
  </r>
  <r>
    <x v="1"/>
  </r>
  <r>
    <x v="3"/>
  </r>
  <r>
    <x v="5"/>
  </r>
  <r>
    <x v="2"/>
  </r>
  <r>
    <x v="1"/>
  </r>
  <r>
    <x v="5"/>
  </r>
  <r>
    <x v="5"/>
  </r>
  <r>
    <x v="3"/>
  </r>
  <r>
    <x v="0"/>
  </r>
  <r>
    <x v="2"/>
  </r>
  <r>
    <x v="1"/>
  </r>
  <r>
    <x v="1"/>
  </r>
  <r>
    <x v="0"/>
  </r>
  <r>
    <x v="2"/>
  </r>
  <r>
    <x v="3"/>
  </r>
  <r>
    <x v="1"/>
  </r>
  <r>
    <x v="2"/>
  </r>
  <r>
    <x v="3"/>
  </r>
  <r>
    <x v="3"/>
  </r>
  <r>
    <x v="1"/>
  </r>
  <r>
    <x v="0"/>
  </r>
  <r>
    <x v="4"/>
  </r>
  <r>
    <x v="1"/>
  </r>
  <r>
    <x v="5"/>
  </r>
  <r>
    <x v="5"/>
  </r>
  <r>
    <x v="3"/>
  </r>
  <r>
    <x v="4"/>
  </r>
  <r>
    <x v="1"/>
  </r>
  <r>
    <x v="5"/>
  </r>
  <r>
    <x v="5"/>
  </r>
  <r>
    <x v="1"/>
  </r>
  <r>
    <x v="2"/>
  </r>
  <r>
    <x v="3"/>
  </r>
  <r>
    <x v="1"/>
  </r>
  <r>
    <x v="2"/>
  </r>
  <r>
    <x v="3"/>
  </r>
  <r>
    <x v="4"/>
  </r>
  <r>
    <x v="0"/>
  </r>
  <r>
    <x v="3"/>
  </r>
  <r>
    <x v="4"/>
  </r>
  <r>
    <x v="0"/>
  </r>
  <r>
    <x v="5"/>
  </r>
  <r>
    <x v="5"/>
  </r>
  <r>
    <x v="5"/>
  </r>
  <r>
    <x v="3"/>
  </r>
  <r>
    <x v="2"/>
  </r>
  <r>
    <x v="0"/>
  </r>
  <r>
    <x v="5"/>
  </r>
  <r>
    <x v="1"/>
  </r>
  <r>
    <x v="0"/>
  </r>
  <r>
    <x v="0"/>
  </r>
  <r>
    <x v="2"/>
  </r>
  <r>
    <x v="4"/>
  </r>
  <r>
    <x v="2"/>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52A260-36B6-41D4-8C5B-DDE9041C7AE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44:E69" firstHeaderRow="1" firstDataRow="1" firstDataCol="1"/>
  <pivotFields count="2">
    <pivotField dataField="1"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1ACAB-9B92-4C8B-9DD3-71CDAD23A22A}"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117:F134" firstHeaderRow="1" firstDataRow="1" firstDataCol="0"/>
  <pivotFields count="19">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0F3D7-EB8B-4853-BED3-3E1F2997EBDD}"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G50:I75" firstHeaderRow="0" firstDataRow="1" firstDataCol="1"/>
  <pivotFields count="3">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Revenue" fld="1" baseField="0" baseItem="0"/>
    <dataField name="Sum of Profit 20%"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7E6B55-309D-4A4D-9C9C-4F111408F58A}"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85:C97" firstHeaderRow="1" firstDataRow="1" firstDataCol="1"/>
  <pivotFields count="19">
    <pivotField showAll="0"/>
    <pivotField showAll="0"/>
    <pivotField showAll="0"/>
    <pivotField showAll="0"/>
    <pivotField showAll="0"/>
    <pivotField showAll="0"/>
    <pivotField axis="axisRow" showAll="0">
      <items count="12">
        <item x="1"/>
        <item x="7"/>
        <item x="0"/>
        <item x="2"/>
        <item x="6"/>
        <item x="8"/>
        <item x="4"/>
        <item x="3"/>
        <item x="5"/>
        <item x="9"/>
        <item x="10"/>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Revenue" fld="15"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FA31D4-C7D0-4DAF-BEBC-1A55809B51DC}"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11:J18" firstHeaderRow="1" firstDataRow="1" firstDataCol="1"/>
  <pivotFields count="19">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7">
        <item x="4"/>
        <item x="1"/>
        <item x="2"/>
        <item x="3"/>
        <item x="0"/>
        <item x="5"/>
        <item t="default"/>
      </items>
    </pivotField>
    <pivotField showAll="0"/>
    <pivotField showAll="0"/>
    <pivotField showAll="0"/>
    <pivotField showAll="0"/>
    <pivotField dataField="1" showAll="0"/>
    <pivotField showAll="0"/>
    <pivotField showAll="0">
      <items count="7">
        <item x="0"/>
        <item x="1"/>
        <item x="2"/>
        <item x="3"/>
        <item x="4"/>
        <item x="5"/>
        <item t="default"/>
      </items>
    </pivotField>
    <pivotField showAll="0">
      <items count="5">
        <item x="0"/>
        <item x="1"/>
        <item x="2"/>
        <item x="3"/>
        <item t="default"/>
      </items>
    </pivotField>
  </pivotFields>
  <rowFields count="1">
    <field x="10"/>
  </rowFields>
  <rowItems count="7">
    <i>
      <x/>
    </i>
    <i>
      <x v="1"/>
    </i>
    <i>
      <x v="2"/>
    </i>
    <i>
      <x v="3"/>
    </i>
    <i>
      <x v="4"/>
    </i>
    <i>
      <x v="5"/>
    </i>
    <i t="grand">
      <x/>
    </i>
  </rowItems>
  <colItems count="1">
    <i/>
  </colItems>
  <dataFields count="1">
    <dataField name="Sum of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A46AF1-3E3F-4041-BEDA-821E6258C812}" name="PivotTable8"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D92:E9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Revenue"/>
    <pivotHierarchy dragToData="1" caption="Max of Revenue"/>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_Project!$A:$Q">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7A2C8E-8B6B-4C8F-B7B2-2F731700CEF2}"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73:E85" firstHeaderRow="1" firstDataRow="1" firstDataCol="1"/>
  <pivotFields count="19">
    <pivotField showAll="0"/>
    <pivotField showAll="0"/>
    <pivotField showAll="0"/>
    <pivotField showAll="0"/>
    <pivotField showAll="0"/>
    <pivotField showAll="0"/>
    <pivotField axis="axisRow" showAll="0">
      <items count="12">
        <item x="1"/>
        <item x="7"/>
        <item x="0"/>
        <item x="2"/>
        <item x="6"/>
        <item x="8"/>
        <item x="4"/>
        <item x="3"/>
        <item x="5"/>
        <item x="9"/>
        <item x="10"/>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Revenue" fld="15"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4871831-8BE5-421A-823F-0CA98F26E9ED}" sourceName="City">
  <data>
    <tabular pivotCacheId="1625766777">
      <items count="8">
        <i x="2" s="1"/>
        <i x="6" s="1"/>
        <i x="4" s="1"/>
        <i x="0" s="1"/>
        <i x="3" s="1"/>
        <i x="5" s="1"/>
        <i x="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F36645E-BD0F-4FC1-A7AB-02E3EAEC08FC}" sourceName="Month">
  <data>
    <tabular pivotCacheId="690983631">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EB7A01C-CED1-4FA4-8F37-9DFB7BABD24E}" sourceName="Product_Category">
  <data>
    <tabular pivotCacheId="1357610522">
      <items count="7">
        <i x="3" s="1"/>
        <i x="2" s="1"/>
        <i x="5" s="1"/>
        <i x="4"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6913098-52CE-418F-9CA6-7C68ED687719}" sourceName="Payment_Mode">
  <pivotTables>
    <pivotTable tabId="3" name="PivotTable2"/>
  </pivotTables>
  <data>
    <tabular pivotCacheId="1844248383">
      <items count="6">
        <i x="4" s="1"/>
        <i x="1" s="1"/>
        <i x="2" s="1"/>
        <i x="3"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D11DBCC-89C1-4DAF-B3C3-862B9A7D9569}" cache="Slicer_City" caption="City" rowHeight="234950"/>
  <slicer name="Month" xr10:uid="{3F98D0A6-81E7-44F8-8106-98C8DA3BF58A}" cache="Slicer_Month" caption="Month" rowHeight="234950"/>
  <slicer name="Product_Category" xr10:uid="{DCB79EF7-88DF-461F-9665-22E83B003948}" cache="Slicer_Product_Category" caption="Product_Category" rowHeight="234950"/>
  <slicer name="Payment Mode" xr10:uid="{AAEC1373-FE9A-4913-99C4-7AFA1FEE4230}" cache="Slicer_Payment_Mode" caption="Payment Mode" columnCoun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50CBF-3A13-4FDB-A086-AE5D804B3CB9}">
  <dimension ref="B11:J134"/>
  <sheetViews>
    <sheetView showGridLines="0" showRowColHeaders="0" tabSelected="1" topLeftCell="B2" zoomScale="78" workbookViewId="0">
      <selection activeCell="E51" sqref="E51"/>
    </sheetView>
  </sheetViews>
  <sheetFormatPr defaultRowHeight="14.4" x14ac:dyDescent="0.3"/>
  <cols>
    <col min="1" max="1" width="14.88671875" bestFit="1" customWidth="1"/>
    <col min="2" max="2" width="12.5546875" bestFit="1" customWidth="1"/>
    <col min="3" max="6" width="14.88671875" bestFit="1" customWidth="1"/>
    <col min="7" max="7" width="12.5546875" bestFit="1" customWidth="1"/>
    <col min="8" max="8" width="14.88671875" bestFit="1" customWidth="1"/>
    <col min="9" max="9" width="12.5546875" bestFit="1" customWidth="1"/>
    <col min="10" max="11" width="14.88671875" bestFit="1" customWidth="1"/>
    <col min="12" max="12" width="14.6640625" bestFit="1" customWidth="1"/>
    <col min="13" max="13" width="3.21875" bestFit="1" customWidth="1"/>
    <col min="14" max="14" width="7" bestFit="1" customWidth="1"/>
    <col min="15" max="15" width="22.6640625" bestFit="1" customWidth="1"/>
    <col min="16" max="16" width="5.5546875" bestFit="1" customWidth="1"/>
    <col min="17" max="17" width="6.88671875" bestFit="1" customWidth="1"/>
    <col min="18" max="18" width="5.88671875" bestFit="1" customWidth="1"/>
    <col min="19" max="19" width="6.44140625" bestFit="1" customWidth="1"/>
    <col min="20" max="20" width="4.44140625" bestFit="1" customWidth="1"/>
    <col min="21" max="21" width="4.88671875" bestFit="1" customWidth="1"/>
    <col min="22" max="22" width="4.77734375" bestFit="1" customWidth="1"/>
    <col min="23" max="23" width="5.5546875" bestFit="1" customWidth="1"/>
    <col min="24" max="24" width="3.21875" bestFit="1" customWidth="1"/>
    <col min="25" max="25" width="7" bestFit="1" customWidth="1"/>
    <col min="26" max="26" width="19.6640625" bestFit="1" customWidth="1"/>
    <col min="27" max="27" width="27.44140625" bestFit="1" customWidth="1"/>
  </cols>
  <sheetData>
    <row r="11" spans="9:10" x14ac:dyDescent="0.3">
      <c r="I11" s="3" t="s">
        <v>182</v>
      </c>
      <c r="J11" t="s">
        <v>178</v>
      </c>
    </row>
    <row r="12" spans="9:10" x14ac:dyDescent="0.3">
      <c r="I12" s="4" t="s">
        <v>67</v>
      </c>
      <c r="J12" s="2">
        <v>218426</v>
      </c>
    </row>
    <row r="13" spans="9:10" x14ac:dyDescent="0.3">
      <c r="I13" s="4" t="s">
        <v>28</v>
      </c>
      <c r="J13" s="2">
        <v>327207</v>
      </c>
    </row>
    <row r="14" spans="9:10" x14ac:dyDescent="0.3">
      <c r="I14" s="4" t="s">
        <v>33</v>
      </c>
      <c r="J14" s="2">
        <v>367826</v>
      </c>
    </row>
    <row r="15" spans="9:10" x14ac:dyDescent="0.3">
      <c r="I15" s="4" t="s">
        <v>38</v>
      </c>
      <c r="J15" s="2">
        <v>198079</v>
      </c>
    </row>
    <row r="16" spans="9:10" x14ac:dyDescent="0.3">
      <c r="I16" s="4" t="s">
        <v>21</v>
      </c>
      <c r="J16" s="2">
        <v>166882</v>
      </c>
    </row>
    <row r="17" spans="9:10" x14ac:dyDescent="0.3">
      <c r="I17" s="4" t="s">
        <v>183</v>
      </c>
      <c r="J17" s="2"/>
    </row>
    <row r="18" spans="9:10" x14ac:dyDescent="0.3">
      <c r="I18" s="4" t="s">
        <v>184</v>
      </c>
      <c r="J18" s="2">
        <v>1278420</v>
      </c>
    </row>
    <row r="44" spans="4:5" x14ac:dyDescent="0.3">
      <c r="D44" s="3" t="s">
        <v>182</v>
      </c>
      <c r="E44" t="s">
        <v>178</v>
      </c>
    </row>
    <row r="45" spans="4:5" x14ac:dyDescent="0.3">
      <c r="D45" s="4" t="s">
        <v>22</v>
      </c>
      <c r="E45" s="2">
        <v>65602</v>
      </c>
    </row>
    <row r="46" spans="4:5" x14ac:dyDescent="0.3">
      <c r="D46" s="4" t="s">
        <v>45</v>
      </c>
      <c r="E46" s="2">
        <v>47228</v>
      </c>
    </row>
    <row r="47" spans="4:5" x14ac:dyDescent="0.3">
      <c r="D47" s="4" t="s">
        <v>57</v>
      </c>
      <c r="E47" s="2">
        <v>47436</v>
      </c>
    </row>
    <row r="48" spans="4:5" x14ac:dyDescent="0.3">
      <c r="D48" s="4" t="s">
        <v>68</v>
      </c>
      <c r="E48" s="2">
        <v>41780</v>
      </c>
    </row>
    <row r="49" spans="4:9" x14ac:dyDescent="0.3">
      <c r="D49" s="4" t="s">
        <v>75</v>
      </c>
      <c r="E49" s="2">
        <v>53007</v>
      </c>
    </row>
    <row r="50" spans="4:9" x14ac:dyDescent="0.3">
      <c r="D50" s="4" t="s">
        <v>80</v>
      </c>
      <c r="E50" s="2">
        <v>61001</v>
      </c>
      <c r="G50" s="3" t="s">
        <v>182</v>
      </c>
      <c r="H50" t="s">
        <v>178</v>
      </c>
      <c r="I50" t="s">
        <v>204</v>
      </c>
    </row>
    <row r="51" spans="4:9" x14ac:dyDescent="0.3">
      <c r="D51" s="4" t="s">
        <v>86</v>
      </c>
      <c r="E51" s="2">
        <v>64342</v>
      </c>
      <c r="G51" s="4" t="s">
        <v>22</v>
      </c>
      <c r="H51" s="2">
        <v>65602</v>
      </c>
      <c r="I51" s="2">
        <v>13124.400000000001</v>
      </c>
    </row>
    <row r="52" spans="4:9" x14ac:dyDescent="0.3">
      <c r="D52" s="4" t="s">
        <v>94</v>
      </c>
      <c r="E52" s="2">
        <v>73954</v>
      </c>
      <c r="G52" s="4" t="s">
        <v>45</v>
      </c>
      <c r="H52" s="2">
        <v>47228</v>
      </c>
      <c r="I52" s="2">
        <v>9449.6</v>
      </c>
    </row>
    <row r="53" spans="4:9" x14ac:dyDescent="0.3">
      <c r="D53" s="4" t="s">
        <v>99</v>
      </c>
      <c r="E53" s="2">
        <v>70614</v>
      </c>
      <c r="G53" s="4" t="s">
        <v>57</v>
      </c>
      <c r="H53" s="2">
        <v>47436</v>
      </c>
      <c r="I53" s="2">
        <v>9491.2000000000007</v>
      </c>
    </row>
    <row r="54" spans="4:9" x14ac:dyDescent="0.3">
      <c r="D54" s="4" t="s">
        <v>104</v>
      </c>
      <c r="E54" s="2">
        <v>94401</v>
      </c>
      <c r="G54" s="4" t="s">
        <v>68</v>
      </c>
      <c r="H54" s="2">
        <v>41780</v>
      </c>
      <c r="I54" s="2">
        <v>8361</v>
      </c>
    </row>
    <row r="55" spans="4:9" x14ac:dyDescent="0.3">
      <c r="D55" s="4" t="s">
        <v>110</v>
      </c>
      <c r="E55" s="2">
        <v>52130</v>
      </c>
      <c r="G55" s="4" t="s">
        <v>75</v>
      </c>
      <c r="H55" s="2">
        <v>53007</v>
      </c>
      <c r="I55" s="2">
        <v>10605.4</v>
      </c>
    </row>
    <row r="56" spans="4:9" x14ac:dyDescent="0.3">
      <c r="D56" s="4" t="s">
        <v>115</v>
      </c>
      <c r="E56" s="2">
        <v>111924</v>
      </c>
      <c r="G56" s="4" t="s">
        <v>80</v>
      </c>
      <c r="H56" s="2">
        <v>61001</v>
      </c>
      <c r="I56" s="2">
        <v>12204.2</v>
      </c>
    </row>
    <row r="57" spans="4:9" x14ac:dyDescent="0.3">
      <c r="D57" s="4" t="s">
        <v>121</v>
      </c>
      <c r="E57" s="2">
        <v>50091</v>
      </c>
      <c r="G57" s="4" t="s">
        <v>86</v>
      </c>
      <c r="H57" s="2">
        <v>64342</v>
      </c>
      <c r="I57" s="2">
        <v>12873.4</v>
      </c>
    </row>
    <row r="58" spans="4:9" x14ac:dyDescent="0.3">
      <c r="D58" s="4" t="s">
        <v>126</v>
      </c>
      <c r="E58" s="2">
        <v>57207</v>
      </c>
      <c r="G58" s="4" t="s">
        <v>94</v>
      </c>
      <c r="H58" s="2">
        <v>73954</v>
      </c>
      <c r="I58" s="2">
        <v>14794.8</v>
      </c>
    </row>
    <row r="59" spans="4:9" x14ac:dyDescent="0.3">
      <c r="D59" s="4" t="s">
        <v>131</v>
      </c>
      <c r="E59" s="2">
        <v>46806</v>
      </c>
      <c r="G59" s="4" t="s">
        <v>99</v>
      </c>
      <c r="H59" s="2">
        <v>70614</v>
      </c>
      <c r="I59" s="2">
        <v>14126.800000000001</v>
      </c>
    </row>
    <row r="60" spans="4:9" x14ac:dyDescent="0.3">
      <c r="D60" s="4" t="s">
        <v>136</v>
      </c>
      <c r="E60" s="2">
        <v>41046</v>
      </c>
      <c r="G60" s="4" t="s">
        <v>104</v>
      </c>
      <c r="H60" s="2">
        <v>94401</v>
      </c>
      <c r="I60" s="2">
        <v>18885.200000000004</v>
      </c>
    </row>
    <row r="61" spans="4:9" x14ac:dyDescent="0.3">
      <c r="D61" s="4" t="s">
        <v>142</v>
      </c>
      <c r="E61" s="2">
        <v>16276</v>
      </c>
      <c r="G61" s="4" t="s">
        <v>110</v>
      </c>
      <c r="H61" s="2">
        <v>52130</v>
      </c>
      <c r="I61" s="2">
        <v>10430</v>
      </c>
    </row>
    <row r="62" spans="4:9" x14ac:dyDescent="0.3">
      <c r="D62" s="4" t="s">
        <v>147</v>
      </c>
      <c r="E62" s="2">
        <v>46844</v>
      </c>
      <c r="G62" s="4" t="s">
        <v>115</v>
      </c>
      <c r="H62" s="2">
        <v>111924</v>
      </c>
      <c r="I62" s="2">
        <v>22389.8</v>
      </c>
    </row>
    <row r="63" spans="4:9" x14ac:dyDescent="0.3">
      <c r="D63" s="4" t="s">
        <v>152</v>
      </c>
      <c r="E63" s="2">
        <v>58650</v>
      </c>
      <c r="G63" s="4" t="s">
        <v>121</v>
      </c>
      <c r="H63" s="2">
        <v>50091</v>
      </c>
      <c r="I63" s="2">
        <v>10022.200000000001</v>
      </c>
    </row>
    <row r="64" spans="4:9" x14ac:dyDescent="0.3">
      <c r="D64" s="4" t="s">
        <v>158</v>
      </c>
      <c r="E64" s="2">
        <v>43311</v>
      </c>
      <c r="G64" s="4" t="s">
        <v>126</v>
      </c>
      <c r="H64" s="2">
        <v>57207</v>
      </c>
      <c r="I64" s="2">
        <v>11445.400000000001</v>
      </c>
    </row>
    <row r="65" spans="4:9" x14ac:dyDescent="0.3">
      <c r="D65" s="4" t="s">
        <v>163</v>
      </c>
      <c r="E65" s="2">
        <v>59261</v>
      </c>
      <c r="G65" s="4" t="s">
        <v>131</v>
      </c>
      <c r="H65" s="2">
        <v>46806</v>
      </c>
      <c r="I65" s="2">
        <v>9365.2000000000007</v>
      </c>
    </row>
    <row r="66" spans="4:9" x14ac:dyDescent="0.3">
      <c r="D66" s="4" t="s">
        <v>169</v>
      </c>
      <c r="E66" s="2">
        <v>36408</v>
      </c>
      <c r="G66" s="4" t="s">
        <v>136</v>
      </c>
      <c r="H66" s="2">
        <v>41046</v>
      </c>
      <c r="I66" s="2">
        <v>8214.2000000000007</v>
      </c>
    </row>
    <row r="67" spans="4:9" x14ac:dyDescent="0.3">
      <c r="D67" s="4" t="s">
        <v>174</v>
      </c>
      <c r="E67" s="2">
        <v>39101</v>
      </c>
      <c r="G67" s="4" t="s">
        <v>142</v>
      </c>
      <c r="H67" s="2">
        <v>16276</v>
      </c>
      <c r="I67" s="2">
        <v>3259.2</v>
      </c>
    </row>
    <row r="68" spans="4:9" x14ac:dyDescent="0.3">
      <c r="D68" s="4" t="s">
        <v>183</v>
      </c>
      <c r="E68" s="2"/>
      <c r="G68" s="4" t="s">
        <v>147</v>
      </c>
      <c r="H68" s="2">
        <v>46844</v>
      </c>
      <c r="I68" s="2">
        <v>9372.8000000000011</v>
      </c>
    </row>
    <row r="69" spans="4:9" x14ac:dyDescent="0.3">
      <c r="D69" s="4" t="s">
        <v>184</v>
      </c>
      <c r="E69" s="2">
        <v>1278420</v>
      </c>
      <c r="G69" s="4" t="s">
        <v>152</v>
      </c>
      <c r="H69" s="2">
        <v>58650</v>
      </c>
      <c r="I69" s="2">
        <v>11735</v>
      </c>
    </row>
    <row r="70" spans="4:9" x14ac:dyDescent="0.3">
      <c r="G70" s="4" t="s">
        <v>158</v>
      </c>
      <c r="H70" s="2">
        <v>43311</v>
      </c>
      <c r="I70" s="2">
        <v>8666.2000000000007</v>
      </c>
    </row>
    <row r="71" spans="4:9" x14ac:dyDescent="0.3">
      <c r="G71" s="4" t="s">
        <v>163</v>
      </c>
      <c r="H71" s="2">
        <v>59261</v>
      </c>
      <c r="I71" s="2">
        <v>11857.2</v>
      </c>
    </row>
    <row r="72" spans="4:9" x14ac:dyDescent="0.3">
      <c r="G72" s="4" t="s">
        <v>169</v>
      </c>
      <c r="H72" s="2">
        <v>36408</v>
      </c>
      <c r="I72" s="2">
        <v>7285.6</v>
      </c>
    </row>
    <row r="73" spans="4:9" x14ac:dyDescent="0.3">
      <c r="D73" s="3" t="s">
        <v>182</v>
      </c>
      <c r="E73" t="s">
        <v>178</v>
      </c>
      <c r="G73" s="4" t="s">
        <v>174</v>
      </c>
      <c r="H73" s="2">
        <v>39101</v>
      </c>
      <c r="I73" s="2">
        <v>7824.2000000000007</v>
      </c>
    </row>
    <row r="74" spans="4:9" x14ac:dyDescent="0.3">
      <c r="D74" s="4" t="s">
        <v>27</v>
      </c>
      <c r="E74" s="2">
        <v>176948</v>
      </c>
      <c r="G74" s="4" t="s">
        <v>183</v>
      </c>
      <c r="H74" s="2"/>
      <c r="I74" s="2"/>
    </row>
    <row r="75" spans="4:9" x14ac:dyDescent="0.3">
      <c r="D75" s="4" t="s">
        <v>63</v>
      </c>
      <c r="E75" s="2">
        <v>126434</v>
      </c>
      <c r="G75" s="4" t="s">
        <v>184</v>
      </c>
      <c r="H75" s="2">
        <v>1278420</v>
      </c>
      <c r="I75" s="2">
        <v>255783.00000000006</v>
      </c>
    </row>
    <row r="76" spans="4:9" x14ac:dyDescent="0.3">
      <c r="D76" s="4" t="s">
        <v>20</v>
      </c>
      <c r="E76" s="2">
        <v>116707</v>
      </c>
    </row>
    <row r="77" spans="4:9" x14ac:dyDescent="0.3">
      <c r="D77" s="4" t="s">
        <v>32</v>
      </c>
      <c r="E77" s="2">
        <v>160506</v>
      </c>
    </row>
    <row r="78" spans="4:9" x14ac:dyDescent="0.3">
      <c r="D78" s="4" t="s">
        <v>60</v>
      </c>
      <c r="E78" s="2">
        <v>173541</v>
      </c>
    </row>
    <row r="79" spans="4:9" x14ac:dyDescent="0.3">
      <c r="D79" s="4" t="s">
        <v>65</v>
      </c>
      <c r="E79" s="2">
        <v>89697</v>
      </c>
    </row>
    <row r="80" spans="4:9" x14ac:dyDescent="0.3">
      <c r="D80" s="4" t="s">
        <v>51</v>
      </c>
      <c r="E80" s="2">
        <v>129139</v>
      </c>
    </row>
    <row r="81" spans="2:5" x14ac:dyDescent="0.3">
      <c r="D81" s="4" t="s">
        <v>44</v>
      </c>
      <c r="E81" s="2">
        <v>177353</v>
      </c>
    </row>
    <row r="82" spans="2:5" x14ac:dyDescent="0.3">
      <c r="D82" s="4" t="s">
        <v>56</v>
      </c>
      <c r="E82" s="2">
        <v>96427</v>
      </c>
    </row>
    <row r="83" spans="2:5" x14ac:dyDescent="0.3">
      <c r="D83" s="4" t="s">
        <v>88</v>
      </c>
      <c r="E83" s="2">
        <v>31668</v>
      </c>
    </row>
    <row r="84" spans="2:5" x14ac:dyDescent="0.3">
      <c r="D84" s="4" t="s">
        <v>183</v>
      </c>
      <c r="E84" s="2"/>
    </row>
    <row r="85" spans="2:5" x14ac:dyDescent="0.3">
      <c r="B85" s="3" t="s">
        <v>182</v>
      </c>
      <c r="C85" t="s">
        <v>178</v>
      </c>
      <c r="D85" s="4" t="s">
        <v>184</v>
      </c>
      <c r="E85" s="2">
        <v>1278420</v>
      </c>
    </row>
    <row r="86" spans="2:5" x14ac:dyDescent="0.3">
      <c r="B86" s="4" t="s">
        <v>27</v>
      </c>
      <c r="C86" s="2">
        <v>176948</v>
      </c>
    </row>
    <row r="87" spans="2:5" x14ac:dyDescent="0.3">
      <c r="B87" s="4" t="s">
        <v>63</v>
      </c>
      <c r="C87" s="2">
        <v>126434</v>
      </c>
    </row>
    <row r="88" spans="2:5" x14ac:dyDescent="0.3">
      <c r="B88" s="4" t="s">
        <v>20</v>
      </c>
      <c r="C88" s="2">
        <v>116707</v>
      </c>
    </row>
    <row r="89" spans="2:5" x14ac:dyDescent="0.3">
      <c r="B89" s="4" t="s">
        <v>32</v>
      </c>
      <c r="C89" s="2">
        <v>160506</v>
      </c>
    </row>
    <row r="90" spans="2:5" x14ac:dyDescent="0.3">
      <c r="B90" s="4" t="s">
        <v>60</v>
      </c>
      <c r="C90" s="2">
        <v>173541</v>
      </c>
    </row>
    <row r="91" spans="2:5" x14ac:dyDescent="0.3">
      <c r="B91" s="4" t="s">
        <v>65</v>
      </c>
      <c r="C91" s="2">
        <v>89697</v>
      </c>
    </row>
    <row r="92" spans="2:5" x14ac:dyDescent="0.3">
      <c r="B92" s="4" t="s">
        <v>51</v>
      </c>
      <c r="C92" s="2">
        <v>129139</v>
      </c>
      <c r="D92" s="3" t="s">
        <v>182</v>
      </c>
      <c r="E92" t="s">
        <v>178</v>
      </c>
    </row>
    <row r="93" spans="2:5" x14ac:dyDescent="0.3">
      <c r="B93" s="4" t="s">
        <v>44</v>
      </c>
      <c r="C93" s="2">
        <v>177353</v>
      </c>
      <c r="D93" s="4" t="s">
        <v>67</v>
      </c>
      <c r="E93" s="2">
        <v>218426</v>
      </c>
    </row>
    <row r="94" spans="2:5" x14ac:dyDescent="0.3">
      <c r="B94" s="4" t="s">
        <v>56</v>
      </c>
      <c r="C94" s="2">
        <v>96427</v>
      </c>
      <c r="D94" s="4" t="s">
        <v>28</v>
      </c>
      <c r="E94" s="2">
        <v>327207</v>
      </c>
    </row>
    <row r="95" spans="2:5" x14ac:dyDescent="0.3">
      <c r="B95" s="4" t="s">
        <v>88</v>
      </c>
      <c r="C95" s="2">
        <v>31668</v>
      </c>
      <c r="D95" s="4" t="s">
        <v>33</v>
      </c>
      <c r="E95" s="2">
        <v>367826</v>
      </c>
    </row>
    <row r="96" spans="2:5" x14ac:dyDescent="0.3">
      <c r="B96" s="4" t="s">
        <v>183</v>
      </c>
      <c r="C96" s="2"/>
      <c r="D96" s="4" t="s">
        <v>38</v>
      </c>
      <c r="E96" s="2">
        <v>198079</v>
      </c>
    </row>
    <row r="97" spans="2:6" x14ac:dyDescent="0.3">
      <c r="B97" s="4" t="s">
        <v>184</v>
      </c>
      <c r="C97" s="2">
        <v>1278420</v>
      </c>
      <c r="D97" s="4" t="s">
        <v>21</v>
      </c>
      <c r="E97" s="2">
        <v>166882</v>
      </c>
    </row>
    <row r="98" spans="2:6" x14ac:dyDescent="0.3">
      <c r="D98" s="4" t="s">
        <v>184</v>
      </c>
      <c r="E98" s="2">
        <v>1278420</v>
      </c>
    </row>
    <row r="101" spans="2:6" x14ac:dyDescent="0.3">
      <c r="D101" t="s">
        <v>197</v>
      </c>
      <c r="E101" t="s">
        <v>196</v>
      </c>
    </row>
    <row r="102" spans="2:6" x14ac:dyDescent="0.3">
      <c r="D102" t="s">
        <v>192</v>
      </c>
      <c r="E102">
        <v>18.811</v>
      </c>
    </row>
    <row r="103" spans="2:6" x14ac:dyDescent="0.3">
      <c r="D103" t="s">
        <v>193</v>
      </c>
      <c r="E103">
        <v>26.732600000000001</v>
      </c>
    </row>
    <row r="104" spans="2:6" x14ac:dyDescent="0.3">
      <c r="D104" t="s">
        <v>194</v>
      </c>
      <c r="E104">
        <v>12.8712</v>
      </c>
    </row>
    <row r="105" spans="2:6" x14ac:dyDescent="0.3">
      <c r="D105" t="s">
        <v>198</v>
      </c>
      <c r="E105">
        <v>18.811</v>
      </c>
    </row>
    <row r="106" spans="2:6" x14ac:dyDescent="0.3">
      <c r="D106" t="s">
        <v>195</v>
      </c>
      <c r="E106">
        <v>21.7821</v>
      </c>
    </row>
    <row r="108" spans="2:6" x14ac:dyDescent="0.3">
      <c r="E108" s="4"/>
      <c r="F108" s="2">
        <v>23710</v>
      </c>
    </row>
    <row r="109" spans="2:6" x14ac:dyDescent="0.3">
      <c r="E109" s="4" t="s">
        <v>43</v>
      </c>
      <c r="F109" s="2">
        <v>36744</v>
      </c>
    </row>
    <row r="110" spans="2:6" x14ac:dyDescent="0.3">
      <c r="E110" s="4" t="s">
        <v>74</v>
      </c>
      <c r="F110" s="2">
        <v>35019</v>
      </c>
    </row>
    <row r="111" spans="2:6" x14ac:dyDescent="0.3">
      <c r="E111" s="4" t="s">
        <v>62</v>
      </c>
      <c r="F111" s="2">
        <v>33687</v>
      </c>
    </row>
    <row r="112" spans="2:6" x14ac:dyDescent="0.3">
      <c r="E112" s="4" t="s">
        <v>37</v>
      </c>
      <c r="F112" s="2">
        <v>38691</v>
      </c>
    </row>
    <row r="113" spans="4:6" x14ac:dyDescent="0.3">
      <c r="E113" s="4" t="s">
        <v>19</v>
      </c>
      <c r="F113" s="2">
        <v>29430</v>
      </c>
    </row>
    <row r="117" spans="4:6" x14ac:dyDescent="0.3">
      <c r="D117" s="6"/>
      <c r="E117" s="7"/>
      <c r="F117" s="8"/>
    </row>
    <row r="118" spans="4:6" x14ac:dyDescent="0.3">
      <c r="D118" s="9"/>
      <c r="E118" s="10"/>
      <c r="F118" s="11"/>
    </row>
    <row r="119" spans="4:6" x14ac:dyDescent="0.3">
      <c r="D119" s="9"/>
      <c r="E119" s="10"/>
      <c r="F119" s="11"/>
    </row>
    <row r="120" spans="4:6" x14ac:dyDescent="0.3">
      <c r="D120" s="9"/>
      <c r="E120" s="10"/>
      <c r="F120" s="11"/>
    </row>
    <row r="121" spans="4:6" x14ac:dyDescent="0.3">
      <c r="D121" s="9"/>
      <c r="E121" s="10"/>
      <c r="F121" s="11"/>
    </row>
    <row r="122" spans="4:6" x14ac:dyDescent="0.3">
      <c r="D122" s="9"/>
      <c r="E122" s="10"/>
      <c r="F122" s="11"/>
    </row>
    <row r="123" spans="4:6" x14ac:dyDescent="0.3">
      <c r="D123" s="9"/>
      <c r="E123" s="10"/>
      <c r="F123" s="11"/>
    </row>
    <row r="124" spans="4:6" x14ac:dyDescent="0.3">
      <c r="D124" s="9"/>
      <c r="E124" s="10"/>
      <c r="F124" s="11"/>
    </row>
    <row r="125" spans="4:6" x14ac:dyDescent="0.3">
      <c r="D125" s="9"/>
      <c r="E125" s="10"/>
      <c r="F125" s="11"/>
    </row>
    <row r="126" spans="4:6" x14ac:dyDescent="0.3">
      <c r="D126" s="9"/>
      <c r="E126" s="10"/>
      <c r="F126" s="11"/>
    </row>
    <row r="127" spans="4:6" x14ac:dyDescent="0.3">
      <c r="D127" s="9"/>
      <c r="E127" s="10"/>
      <c r="F127" s="11"/>
    </row>
    <row r="128" spans="4:6" x14ac:dyDescent="0.3">
      <c r="D128" s="9"/>
      <c r="E128" s="10"/>
      <c r="F128" s="11"/>
    </row>
    <row r="129" spans="4:6" x14ac:dyDescent="0.3">
      <c r="D129" s="9"/>
      <c r="E129" s="10"/>
      <c r="F129" s="11"/>
    </row>
    <row r="130" spans="4:6" x14ac:dyDescent="0.3">
      <c r="D130" s="9"/>
      <c r="E130" s="10"/>
      <c r="F130" s="11"/>
    </row>
    <row r="131" spans="4:6" x14ac:dyDescent="0.3">
      <c r="D131" s="9"/>
      <c r="E131" s="10"/>
      <c r="F131" s="11"/>
    </row>
    <row r="132" spans="4:6" x14ac:dyDescent="0.3">
      <c r="D132" s="9"/>
      <c r="E132" s="10"/>
      <c r="F132" s="11"/>
    </row>
    <row r="133" spans="4:6" x14ac:dyDescent="0.3">
      <c r="D133" s="9"/>
      <c r="E133" s="10"/>
      <c r="F133" s="11"/>
    </row>
    <row r="134" spans="4:6" x14ac:dyDescent="0.3">
      <c r="D134" s="12"/>
      <c r="E134" s="13"/>
      <c r="F134" s="14"/>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
  <sheetViews>
    <sheetView topLeftCell="K1" workbookViewId="0">
      <selection activeCell="R29" sqref="R29"/>
    </sheetView>
  </sheetViews>
  <sheetFormatPr defaultRowHeight="14.4" x14ac:dyDescent="0.3"/>
  <cols>
    <col min="1" max="1" width="13.44140625" customWidth="1"/>
    <col min="6" max="6" width="16.21875" customWidth="1"/>
    <col min="7" max="7" width="13.6640625" customWidth="1"/>
    <col min="10" max="10" width="15.44140625" customWidth="1"/>
    <col min="11" max="11" width="14.109375" customWidth="1"/>
    <col min="12" max="12" width="14.77734375" customWidth="1"/>
    <col min="13" max="13" width="18.21875" customWidth="1"/>
    <col min="14" max="14" width="16.21875" customWidth="1"/>
    <col min="16" max="16" width="10.88671875" style="5" customWidth="1"/>
    <col min="17" max="17" width="10.88671875" customWidth="1"/>
    <col min="18" max="18" width="13.77734375" customWidth="1"/>
    <col min="19" max="19" width="13.6640625" customWidth="1"/>
    <col min="22" max="22" width="12.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5</v>
      </c>
      <c r="O1" t="s">
        <v>14</v>
      </c>
      <c r="P1" s="5" t="s">
        <v>13</v>
      </c>
      <c r="Q1" t="s">
        <v>202</v>
      </c>
    </row>
    <row r="2" spans="1:19" x14ac:dyDescent="0.3">
      <c r="A2" t="s">
        <v>15</v>
      </c>
      <c r="B2" t="s">
        <v>16</v>
      </c>
      <c r="C2">
        <v>56</v>
      </c>
      <c r="D2" t="s">
        <v>17</v>
      </c>
      <c r="E2" t="s">
        <v>18</v>
      </c>
      <c r="F2" t="s">
        <v>19</v>
      </c>
      <c r="G2" t="s">
        <v>20</v>
      </c>
      <c r="H2">
        <v>9</v>
      </c>
      <c r="I2">
        <v>2911</v>
      </c>
      <c r="J2" s="1">
        <v>44562</v>
      </c>
      <c r="K2" t="s">
        <v>21</v>
      </c>
      <c r="L2">
        <v>5</v>
      </c>
      <c r="M2">
        <v>3.94</v>
      </c>
      <c r="N2" t="s">
        <v>19</v>
      </c>
      <c r="O2" t="s">
        <v>22</v>
      </c>
      <c r="P2" s="5">
        <v>26199</v>
      </c>
      <c r="Q2">
        <f>0.2*P2</f>
        <v>5239.8</v>
      </c>
    </row>
    <row r="3" spans="1:19" x14ac:dyDescent="0.3">
      <c r="A3" t="s">
        <v>23</v>
      </c>
      <c r="B3" t="s">
        <v>24</v>
      </c>
      <c r="C3">
        <v>46</v>
      </c>
      <c r="D3" t="s">
        <v>25</v>
      </c>
      <c r="E3" t="s">
        <v>26</v>
      </c>
      <c r="F3" t="s">
        <v>19</v>
      </c>
      <c r="G3" t="s">
        <v>27</v>
      </c>
      <c r="H3">
        <v>8</v>
      </c>
      <c r="I3">
        <v>1469</v>
      </c>
      <c r="J3" s="1">
        <v>44569</v>
      </c>
      <c r="K3" t="s">
        <v>28</v>
      </c>
      <c r="L3">
        <v>5</v>
      </c>
      <c r="M3">
        <v>20.72</v>
      </c>
      <c r="N3" t="s">
        <v>19</v>
      </c>
      <c r="O3" t="s">
        <v>22</v>
      </c>
      <c r="P3" s="5">
        <v>11752</v>
      </c>
      <c r="Q3">
        <f>0.2*P3+1</f>
        <v>2351.4</v>
      </c>
    </row>
    <row r="4" spans="1:19" x14ac:dyDescent="0.3">
      <c r="A4" t="s">
        <v>29</v>
      </c>
      <c r="B4" t="s">
        <v>30</v>
      </c>
      <c r="C4">
        <v>32</v>
      </c>
      <c r="D4" t="s">
        <v>25</v>
      </c>
      <c r="E4" t="s">
        <v>31</v>
      </c>
      <c r="F4" t="s">
        <v>19</v>
      </c>
      <c r="G4" t="s">
        <v>32</v>
      </c>
      <c r="H4">
        <v>2</v>
      </c>
      <c r="I4">
        <v>2086</v>
      </c>
      <c r="J4" s="1">
        <v>44576</v>
      </c>
      <c r="K4" t="s">
        <v>33</v>
      </c>
      <c r="L4">
        <v>1</v>
      </c>
      <c r="M4">
        <v>9.7899999999999991</v>
      </c>
      <c r="N4" t="s">
        <v>19</v>
      </c>
      <c r="O4" t="s">
        <v>22</v>
      </c>
      <c r="P4" s="5">
        <v>4172</v>
      </c>
      <c r="Q4">
        <f>0.2*P4+1</f>
        <v>835.40000000000009</v>
      </c>
    </row>
    <row r="5" spans="1:19" x14ac:dyDescent="0.3">
      <c r="A5" t="s">
        <v>34</v>
      </c>
      <c r="B5" t="s">
        <v>35</v>
      </c>
      <c r="C5">
        <v>25</v>
      </c>
      <c r="D5" t="s">
        <v>25</v>
      </c>
      <c r="E5" t="s">
        <v>36</v>
      </c>
      <c r="F5" t="s">
        <v>37</v>
      </c>
      <c r="G5" t="s">
        <v>20</v>
      </c>
      <c r="H5">
        <v>1</v>
      </c>
      <c r="I5">
        <v>246</v>
      </c>
      <c r="J5" s="1">
        <v>44583</v>
      </c>
      <c r="K5" t="s">
        <v>38</v>
      </c>
      <c r="L5">
        <v>3</v>
      </c>
      <c r="M5">
        <v>18.309999999999999</v>
      </c>
      <c r="N5" t="s">
        <v>37</v>
      </c>
      <c r="O5" t="s">
        <v>22</v>
      </c>
      <c r="P5" s="5">
        <v>246</v>
      </c>
      <c r="Q5">
        <f>0.2*P5+1</f>
        <v>50.2</v>
      </c>
    </row>
    <row r="6" spans="1:19" x14ac:dyDescent="0.3">
      <c r="A6" t="s">
        <v>39</v>
      </c>
      <c r="B6" t="s">
        <v>35</v>
      </c>
      <c r="C6">
        <v>38</v>
      </c>
      <c r="D6" t="s">
        <v>25</v>
      </c>
      <c r="E6" t="s">
        <v>36</v>
      </c>
      <c r="F6" t="s">
        <v>37</v>
      </c>
      <c r="G6" t="s">
        <v>32</v>
      </c>
      <c r="H6">
        <v>7</v>
      </c>
      <c r="I6">
        <v>3319</v>
      </c>
      <c r="J6" s="1">
        <v>44590</v>
      </c>
      <c r="K6" t="s">
        <v>38</v>
      </c>
      <c r="L6">
        <v>2</v>
      </c>
      <c r="M6">
        <v>27.9</v>
      </c>
      <c r="N6" t="s">
        <v>37</v>
      </c>
      <c r="O6" t="s">
        <v>22</v>
      </c>
      <c r="P6" s="5">
        <v>23233</v>
      </c>
      <c r="Q6">
        <f>0.2*P6+1</f>
        <v>4647.6000000000004</v>
      </c>
    </row>
    <row r="7" spans="1:19" x14ac:dyDescent="0.3">
      <c r="A7" t="s">
        <v>40</v>
      </c>
      <c r="B7" t="s">
        <v>41</v>
      </c>
      <c r="C7">
        <v>56</v>
      </c>
      <c r="D7" t="s">
        <v>17</v>
      </c>
      <c r="E7" t="s">
        <v>42</v>
      </c>
      <c r="F7" t="s">
        <v>43</v>
      </c>
      <c r="G7" t="s">
        <v>44</v>
      </c>
      <c r="H7">
        <v>7</v>
      </c>
      <c r="I7">
        <v>3011</v>
      </c>
      <c r="J7" s="1">
        <v>44597</v>
      </c>
      <c r="K7" t="s">
        <v>21</v>
      </c>
      <c r="L7">
        <v>1</v>
      </c>
      <c r="M7">
        <v>13.95</v>
      </c>
      <c r="N7" t="s">
        <v>43</v>
      </c>
      <c r="O7" t="s">
        <v>45</v>
      </c>
      <c r="P7" s="5">
        <v>21077</v>
      </c>
      <c r="Q7">
        <f t="shared" ref="Q7:Q67" si="0">0.2*P7+1</f>
        <v>4216.4000000000005</v>
      </c>
    </row>
    <row r="8" spans="1:19" x14ac:dyDescent="0.3">
      <c r="A8" t="s">
        <v>46</v>
      </c>
      <c r="B8" t="s">
        <v>16</v>
      </c>
      <c r="C8">
        <v>36</v>
      </c>
      <c r="D8" t="s">
        <v>17</v>
      </c>
      <c r="E8" t="s">
        <v>47</v>
      </c>
      <c r="F8" t="s">
        <v>48</v>
      </c>
      <c r="G8" t="s">
        <v>44</v>
      </c>
      <c r="H8">
        <v>8</v>
      </c>
      <c r="I8">
        <v>1834</v>
      </c>
      <c r="J8" s="1">
        <v>44604</v>
      </c>
      <c r="K8" t="s">
        <v>33</v>
      </c>
      <c r="L8">
        <v>2</v>
      </c>
      <c r="M8">
        <v>24.58</v>
      </c>
      <c r="N8" t="s">
        <v>48</v>
      </c>
      <c r="O8" t="s">
        <v>45</v>
      </c>
      <c r="P8" s="5">
        <v>14672</v>
      </c>
      <c r="Q8">
        <f t="shared" si="0"/>
        <v>2935.4</v>
      </c>
      <c r="S8" t="s">
        <v>203</v>
      </c>
    </row>
    <row r="9" spans="1:19" x14ac:dyDescent="0.3">
      <c r="A9" t="s">
        <v>49</v>
      </c>
      <c r="B9" t="s">
        <v>50</v>
      </c>
      <c r="C9">
        <v>40</v>
      </c>
      <c r="D9" t="s">
        <v>25</v>
      </c>
      <c r="E9" t="s">
        <v>47</v>
      </c>
      <c r="F9" t="s">
        <v>48</v>
      </c>
      <c r="G9" t="s">
        <v>51</v>
      </c>
      <c r="H9">
        <v>5</v>
      </c>
      <c r="I9">
        <v>1943</v>
      </c>
      <c r="J9" s="1">
        <v>44611</v>
      </c>
      <c r="K9" t="s">
        <v>33</v>
      </c>
      <c r="L9">
        <v>2</v>
      </c>
      <c r="M9">
        <v>13.24</v>
      </c>
      <c r="N9" t="s">
        <v>48</v>
      </c>
      <c r="O9" t="s">
        <v>45</v>
      </c>
      <c r="P9" s="5">
        <v>9715</v>
      </c>
      <c r="Q9">
        <f t="shared" si="0"/>
        <v>1944</v>
      </c>
    </row>
    <row r="10" spans="1:19" x14ac:dyDescent="0.3">
      <c r="A10" t="s">
        <v>52</v>
      </c>
      <c r="B10" t="s">
        <v>16</v>
      </c>
      <c r="C10">
        <v>28</v>
      </c>
      <c r="D10" t="s">
        <v>17</v>
      </c>
      <c r="E10" t="s">
        <v>47</v>
      </c>
      <c r="F10" t="s">
        <v>37</v>
      </c>
      <c r="G10" t="s">
        <v>32</v>
      </c>
      <c r="H10">
        <v>3</v>
      </c>
      <c r="I10">
        <v>588</v>
      </c>
      <c r="J10" s="1">
        <v>44618</v>
      </c>
      <c r="K10" t="s">
        <v>33</v>
      </c>
      <c r="L10">
        <v>3</v>
      </c>
      <c r="M10">
        <v>18.600000000000001</v>
      </c>
      <c r="N10" t="s">
        <v>37</v>
      </c>
      <c r="O10" t="s">
        <v>45</v>
      </c>
      <c r="P10" s="5">
        <v>1764</v>
      </c>
      <c r="Q10">
        <f t="shared" si="0"/>
        <v>353.8</v>
      </c>
      <c r="S10" t="s">
        <v>179</v>
      </c>
    </row>
    <row r="11" spans="1:19" x14ac:dyDescent="0.3">
      <c r="A11" t="s">
        <v>53</v>
      </c>
      <c r="B11" t="s">
        <v>54</v>
      </c>
      <c r="C11">
        <v>28</v>
      </c>
      <c r="D11" t="s">
        <v>17</v>
      </c>
      <c r="E11" t="s">
        <v>55</v>
      </c>
      <c r="F11" t="s">
        <v>43</v>
      </c>
      <c r="G11" t="s">
        <v>56</v>
      </c>
      <c r="H11">
        <v>8</v>
      </c>
      <c r="I11">
        <v>3076</v>
      </c>
      <c r="J11" s="1">
        <v>44625</v>
      </c>
      <c r="K11" t="s">
        <v>28</v>
      </c>
      <c r="L11">
        <v>2</v>
      </c>
      <c r="M11">
        <v>25.55</v>
      </c>
      <c r="N11" t="s">
        <v>43</v>
      </c>
      <c r="O11" t="s">
        <v>57</v>
      </c>
      <c r="P11" s="5">
        <v>24608</v>
      </c>
      <c r="Q11">
        <f t="shared" si="0"/>
        <v>4922.6000000000004</v>
      </c>
      <c r="S11">
        <f>SUM(P:P)</f>
        <v>1278420</v>
      </c>
    </row>
    <row r="12" spans="1:19" x14ac:dyDescent="0.3">
      <c r="A12" t="s">
        <v>58</v>
      </c>
      <c r="B12" t="s">
        <v>59</v>
      </c>
      <c r="C12">
        <v>41</v>
      </c>
      <c r="D12" t="s">
        <v>17</v>
      </c>
      <c r="E12" t="s">
        <v>18</v>
      </c>
      <c r="F12" t="s">
        <v>37</v>
      </c>
      <c r="G12" t="s">
        <v>60</v>
      </c>
      <c r="H12">
        <v>6</v>
      </c>
      <c r="I12">
        <v>2059</v>
      </c>
      <c r="J12" s="1">
        <v>44632</v>
      </c>
      <c r="K12" t="s">
        <v>38</v>
      </c>
      <c r="L12">
        <v>2</v>
      </c>
      <c r="M12">
        <v>23.54</v>
      </c>
      <c r="N12" t="s">
        <v>37</v>
      </c>
      <c r="O12" t="s">
        <v>57</v>
      </c>
      <c r="P12" s="5">
        <v>12354</v>
      </c>
      <c r="Q12">
        <f t="shared" si="0"/>
        <v>2471.8000000000002</v>
      </c>
      <c r="S12">
        <f>COUNTA(A:A,J:J)</f>
        <v>202</v>
      </c>
    </row>
    <row r="13" spans="1:19" x14ac:dyDescent="0.3">
      <c r="A13" t="s">
        <v>61</v>
      </c>
      <c r="B13" t="s">
        <v>24</v>
      </c>
      <c r="C13">
        <v>53</v>
      </c>
      <c r="D13" t="s">
        <v>17</v>
      </c>
      <c r="E13" t="s">
        <v>47</v>
      </c>
      <c r="F13" t="s">
        <v>62</v>
      </c>
      <c r="G13" t="s">
        <v>63</v>
      </c>
      <c r="H13">
        <v>3</v>
      </c>
      <c r="I13">
        <v>2485</v>
      </c>
      <c r="J13" s="1">
        <v>44639</v>
      </c>
      <c r="K13" t="s">
        <v>33</v>
      </c>
      <c r="L13">
        <v>3</v>
      </c>
      <c r="M13">
        <v>9.66</v>
      </c>
      <c r="N13" t="s">
        <v>62</v>
      </c>
      <c r="O13" t="s">
        <v>57</v>
      </c>
      <c r="P13" s="5">
        <v>7455</v>
      </c>
      <c r="Q13">
        <f t="shared" si="0"/>
        <v>1492</v>
      </c>
      <c r="R13" t="s">
        <v>180</v>
      </c>
      <c r="S13">
        <f>S11/S12</f>
        <v>6328.8118811881186</v>
      </c>
    </row>
    <row r="14" spans="1:19" x14ac:dyDescent="0.3">
      <c r="A14" t="s">
        <v>64</v>
      </c>
      <c r="B14" t="s">
        <v>24</v>
      </c>
      <c r="C14">
        <v>57</v>
      </c>
      <c r="D14" t="s">
        <v>17</v>
      </c>
      <c r="E14" t="s">
        <v>18</v>
      </c>
      <c r="F14" t="s">
        <v>43</v>
      </c>
      <c r="G14" t="s">
        <v>65</v>
      </c>
      <c r="H14">
        <v>1</v>
      </c>
      <c r="I14">
        <v>3019</v>
      </c>
      <c r="J14" s="1">
        <v>44646</v>
      </c>
      <c r="K14" t="s">
        <v>28</v>
      </c>
      <c r="L14">
        <v>2</v>
      </c>
      <c r="M14">
        <v>29.58</v>
      </c>
      <c r="N14" t="s">
        <v>43</v>
      </c>
      <c r="O14" t="s">
        <v>57</v>
      </c>
      <c r="P14" s="5">
        <v>3019</v>
      </c>
      <c r="Q14">
        <f t="shared" si="0"/>
        <v>604.80000000000007</v>
      </c>
    </row>
    <row r="15" spans="1:19" x14ac:dyDescent="0.3">
      <c r="A15" t="s">
        <v>66</v>
      </c>
      <c r="B15" t="s">
        <v>16</v>
      </c>
      <c r="C15">
        <v>41</v>
      </c>
      <c r="D15" t="s">
        <v>25</v>
      </c>
      <c r="E15" t="s">
        <v>47</v>
      </c>
      <c r="F15" t="s">
        <v>48</v>
      </c>
      <c r="G15" t="s">
        <v>44</v>
      </c>
      <c r="H15">
        <v>3</v>
      </c>
      <c r="I15">
        <v>4836</v>
      </c>
      <c r="J15" s="1">
        <v>44653</v>
      </c>
      <c r="K15" t="s">
        <v>67</v>
      </c>
      <c r="L15">
        <v>2</v>
      </c>
      <c r="M15">
        <v>4.7</v>
      </c>
      <c r="N15" t="s">
        <v>48</v>
      </c>
      <c r="O15" t="s">
        <v>68</v>
      </c>
      <c r="P15" s="5">
        <v>14508</v>
      </c>
      <c r="Q15">
        <f t="shared" si="0"/>
        <v>2902.6000000000004</v>
      </c>
    </row>
    <row r="16" spans="1:19" x14ac:dyDescent="0.3">
      <c r="A16" t="s">
        <v>69</v>
      </c>
      <c r="B16" t="s">
        <v>35</v>
      </c>
      <c r="C16">
        <v>20</v>
      </c>
      <c r="D16" t="s">
        <v>17</v>
      </c>
      <c r="E16" t="s">
        <v>31</v>
      </c>
      <c r="F16" t="s">
        <v>48</v>
      </c>
      <c r="G16" t="s">
        <v>65</v>
      </c>
      <c r="H16">
        <v>5</v>
      </c>
      <c r="I16">
        <v>1902</v>
      </c>
      <c r="J16" s="1">
        <v>44660</v>
      </c>
      <c r="K16" t="s">
        <v>21</v>
      </c>
      <c r="L16">
        <v>2</v>
      </c>
      <c r="M16">
        <v>16.64</v>
      </c>
      <c r="N16" t="s">
        <v>48</v>
      </c>
      <c r="O16" t="s">
        <v>68</v>
      </c>
      <c r="P16" s="5">
        <v>9510</v>
      </c>
      <c r="Q16">
        <f t="shared" si="0"/>
        <v>1903</v>
      </c>
      <c r="S16" t="s">
        <v>181</v>
      </c>
    </row>
    <row r="17" spans="1:24" x14ac:dyDescent="0.3">
      <c r="A17" t="s">
        <v>70</v>
      </c>
      <c r="B17" t="s">
        <v>35</v>
      </c>
      <c r="C17">
        <v>39</v>
      </c>
      <c r="D17" t="s">
        <v>25</v>
      </c>
      <c r="E17" t="s">
        <v>18</v>
      </c>
      <c r="F17" t="s">
        <v>37</v>
      </c>
      <c r="G17" t="s">
        <v>65</v>
      </c>
      <c r="H17">
        <v>3</v>
      </c>
      <c r="I17">
        <v>4161</v>
      </c>
      <c r="J17" s="1">
        <v>44667</v>
      </c>
      <c r="K17" t="s">
        <v>38</v>
      </c>
      <c r="L17">
        <v>1</v>
      </c>
      <c r="M17">
        <v>15.03</v>
      </c>
      <c r="N17" t="s">
        <v>37</v>
      </c>
      <c r="O17" t="s">
        <v>68</v>
      </c>
      <c r="P17" s="5">
        <v>12483</v>
      </c>
      <c r="Q17">
        <f t="shared" si="0"/>
        <v>2497.6000000000004</v>
      </c>
      <c r="S17">
        <f>COUNTA(A:A)</f>
        <v>101</v>
      </c>
    </row>
    <row r="18" spans="1:24" x14ac:dyDescent="0.3">
      <c r="A18" t="s">
        <v>71</v>
      </c>
      <c r="B18" t="s">
        <v>50</v>
      </c>
      <c r="C18">
        <v>19</v>
      </c>
      <c r="D18" t="s">
        <v>25</v>
      </c>
      <c r="E18" t="s">
        <v>47</v>
      </c>
      <c r="F18" t="s">
        <v>62</v>
      </c>
      <c r="G18" t="s">
        <v>60</v>
      </c>
      <c r="H18">
        <v>1</v>
      </c>
      <c r="I18">
        <v>3469</v>
      </c>
      <c r="J18" s="1">
        <v>44674</v>
      </c>
      <c r="K18" t="s">
        <v>38</v>
      </c>
      <c r="L18">
        <v>1</v>
      </c>
      <c r="M18">
        <v>23.06</v>
      </c>
      <c r="N18" t="s">
        <v>62</v>
      </c>
      <c r="O18" t="s">
        <v>68</v>
      </c>
      <c r="P18" s="5">
        <v>3469</v>
      </c>
      <c r="Q18">
        <f t="shared" si="0"/>
        <v>694.80000000000007</v>
      </c>
    </row>
    <row r="19" spans="1:24" x14ac:dyDescent="0.3">
      <c r="A19" t="s">
        <v>72</v>
      </c>
      <c r="B19" t="s">
        <v>54</v>
      </c>
      <c r="C19">
        <v>41</v>
      </c>
      <c r="D19" t="s">
        <v>25</v>
      </c>
      <c r="E19" t="s">
        <v>36</v>
      </c>
      <c r="F19" t="s">
        <v>37</v>
      </c>
      <c r="G19" t="s">
        <v>20</v>
      </c>
      <c r="H19">
        <v>5</v>
      </c>
      <c r="I19">
        <v>362</v>
      </c>
      <c r="J19" s="1">
        <v>44681</v>
      </c>
      <c r="K19" t="s">
        <v>21</v>
      </c>
      <c r="L19">
        <v>1</v>
      </c>
      <c r="M19">
        <v>22.85</v>
      </c>
      <c r="N19" t="s">
        <v>37</v>
      </c>
      <c r="O19" t="s">
        <v>68</v>
      </c>
      <c r="P19" s="5">
        <v>1810</v>
      </c>
      <c r="Q19">
        <f t="shared" si="0"/>
        <v>363</v>
      </c>
      <c r="S19" t="s">
        <v>185</v>
      </c>
    </row>
    <row r="20" spans="1:24" x14ac:dyDescent="0.3">
      <c r="A20" t="s">
        <v>73</v>
      </c>
      <c r="B20" t="s">
        <v>24</v>
      </c>
      <c r="C20">
        <v>47</v>
      </c>
      <c r="D20" t="s">
        <v>25</v>
      </c>
      <c r="E20" t="s">
        <v>42</v>
      </c>
      <c r="F20" t="s">
        <v>74</v>
      </c>
      <c r="G20" t="s">
        <v>65</v>
      </c>
      <c r="H20">
        <v>7</v>
      </c>
      <c r="I20">
        <v>723</v>
      </c>
      <c r="J20" s="1">
        <v>44688</v>
      </c>
      <c r="K20" t="s">
        <v>67</v>
      </c>
      <c r="L20">
        <v>3</v>
      </c>
      <c r="M20">
        <v>28.77</v>
      </c>
      <c r="N20" t="s">
        <v>74</v>
      </c>
      <c r="O20" t="s">
        <v>75</v>
      </c>
      <c r="P20" s="5">
        <v>5061</v>
      </c>
      <c r="Q20">
        <f t="shared" si="0"/>
        <v>1013.2</v>
      </c>
    </row>
    <row r="21" spans="1:24" x14ac:dyDescent="0.3">
      <c r="A21" t="s">
        <v>76</v>
      </c>
      <c r="B21" t="s">
        <v>50</v>
      </c>
      <c r="C21">
        <v>55</v>
      </c>
      <c r="D21" t="s">
        <v>17</v>
      </c>
      <c r="E21" t="s">
        <v>18</v>
      </c>
      <c r="F21" t="s">
        <v>74</v>
      </c>
      <c r="G21" t="s">
        <v>32</v>
      </c>
      <c r="H21">
        <v>7</v>
      </c>
      <c r="I21">
        <v>1116</v>
      </c>
      <c r="J21" s="1">
        <v>44695</v>
      </c>
      <c r="K21" t="s">
        <v>28</v>
      </c>
      <c r="L21">
        <v>5</v>
      </c>
      <c r="M21">
        <v>28.9</v>
      </c>
      <c r="N21" t="s">
        <v>74</v>
      </c>
      <c r="O21" t="s">
        <v>75</v>
      </c>
      <c r="P21" s="5">
        <v>7812</v>
      </c>
      <c r="Q21">
        <f t="shared" si="0"/>
        <v>1563.4</v>
      </c>
      <c r="S21">
        <f>AVERAGE(L:L)</f>
        <v>2.98</v>
      </c>
    </row>
    <row r="22" spans="1:24" x14ac:dyDescent="0.3">
      <c r="A22" t="s">
        <v>77</v>
      </c>
      <c r="B22" t="s">
        <v>35</v>
      </c>
      <c r="C22">
        <v>19</v>
      </c>
      <c r="D22" t="s">
        <v>17</v>
      </c>
      <c r="E22" t="s">
        <v>36</v>
      </c>
      <c r="F22" t="s">
        <v>62</v>
      </c>
      <c r="G22" t="s">
        <v>60</v>
      </c>
      <c r="H22">
        <v>9</v>
      </c>
      <c r="I22">
        <v>3743</v>
      </c>
      <c r="J22" s="1">
        <v>44702</v>
      </c>
      <c r="K22" t="s">
        <v>21</v>
      </c>
      <c r="L22">
        <v>2</v>
      </c>
      <c r="M22">
        <v>25.55</v>
      </c>
      <c r="N22" t="s">
        <v>62</v>
      </c>
      <c r="O22" t="s">
        <v>75</v>
      </c>
      <c r="P22" s="5">
        <v>33687</v>
      </c>
      <c r="Q22">
        <f t="shared" si="0"/>
        <v>6738.4000000000005</v>
      </c>
      <c r="U22" t="s">
        <v>14</v>
      </c>
      <c r="V22" t="s">
        <v>200</v>
      </c>
      <c r="W22" t="s">
        <v>199</v>
      </c>
      <c r="X22" t="s">
        <v>201</v>
      </c>
    </row>
    <row r="23" spans="1:24" x14ac:dyDescent="0.3">
      <c r="A23" t="s">
        <v>78</v>
      </c>
      <c r="B23" t="s">
        <v>50</v>
      </c>
      <c r="C23">
        <v>38</v>
      </c>
      <c r="D23" t="s">
        <v>25</v>
      </c>
      <c r="E23" t="s">
        <v>36</v>
      </c>
      <c r="F23" t="s">
        <v>19</v>
      </c>
      <c r="G23" t="s">
        <v>44</v>
      </c>
      <c r="H23">
        <v>3</v>
      </c>
      <c r="I23">
        <v>2149</v>
      </c>
      <c r="J23" s="1">
        <v>44709</v>
      </c>
      <c r="K23" t="s">
        <v>28</v>
      </c>
      <c r="L23">
        <v>2</v>
      </c>
      <c r="M23">
        <v>15.52</v>
      </c>
      <c r="N23" t="s">
        <v>19</v>
      </c>
      <c r="O23" t="s">
        <v>75</v>
      </c>
      <c r="P23" s="5">
        <v>6447</v>
      </c>
      <c r="Q23">
        <f t="shared" si="0"/>
        <v>1290.4000000000001</v>
      </c>
      <c r="R23" t="s">
        <v>186</v>
      </c>
      <c r="S23">
        <f>COUNTIF(L:L,1)</f>
        <v>19</v>
      </c>
    </row>
    <row r="24" spans="1:24" x14ac:dyDescent="0.3">
      <c r="A24" t="s">
        <v>79</v>
      </c>
      <c r="B24" t="s">
        <v>59</v>
      </c>
      <c r="C24">
        <v>50</v>
      </c>
      <c r="D24" t="s">
        <v>25</v>
      </c>
      <c r="E24" t="s">
        <v>36</v>
      </c>
      <c r="F24" t="s">
        <v>19</v>
      </c>
      <c r="G24" t="s">
        <v>27</v>
      </c>
      <c r="H24">
        <v>7</v>
      </c>
      <c r="I24">
        <v>3823</v>
      </c>
      <c r="J24" s="1">
        <v>44716</v>
      </c>
      <c r="K24" t="s">
        <v>28</v>
      </c>
      <c r="L24">
        <v>3</v>
      </c>
      <c r="M24">
        <v>10.29</v>
      </c>
      <c r="N24" t="s">
        <v>19</v>
      </c>
      <c r="O24" t="s">
        <v>80</v>
      </c>
      <c r="P24" s="5">
        <v>26761</v>
      </c>
      <c r="Q24">
        <f t="shared" si="0"/>
        <v>5353.2000000000007</v>
      </c>
      <c r="R24" t="s">
        <v>187</v>
      </c>
      <c r="S24">
        <f>COUNTIF(L:L,2)</f>
        <v>27</v>
      </c>
    </row>
    <row r="25" spans="1:24" x14ac:dyDescent="0.3">
      <c r="A25" t="s">
        <v>81</v>
      </c>
      <c r="B25" t="s">
        <v>35</v>
      </c>
      <c r="C25">
        <v>29</v>
      </c>
      <c r="D25" t="s">
        <v>17</v>
      </c>
      <c r="E25" t="s">
        <v>55</v>
      </c>
      <c r="F25" t="s">
        <v>74</v>
      </c>
      <c r="G25" t="s">
        <v>65</v>
      </c>
      <c r="H25">
        <v>1</v>
      </c>
      <c r="I25">
        <v>4648</v>
      </c>
      <c r="J25" s="1">
        <v>44723</v>
      </c>
      <c r="K25" t="s">
        <v>28</v>
      </c>
      <c r="L25">
        <v>2</v>
      </c>
      <c r="M25">
        <v>5.42</v>
      </c>
      <c r="N25" t="s">
        <v>74</v>
      </c>
      <c r="O25" t="s">
        <v>80</v>
      </c>
      <c r="P25" s="5">
        <v>4648</v>
      </c>
      <c r="Q25">
        <f t="shared" si="0"/>
        <v>930.6</v>
      </c>
      <c r="R25" t="s">
        <v>188</v>
      </c>
      <c r="S25">
        <f>COUNTIF(L:L,3)</f>
        <v>13</v>
      </c>
    </row>
    <row r="26" spans="1:24" x14ac:dyDescent="0.3">
      <c r="A26" t="s">
        <v>82</v>
      </c>
      <c r="B26" t="s">
        <v>83</v>
      </c>
      <c r="C26">
        <v>39</v>
      </c>
      <c r="D26" t="s">
        <v>25</v>
      </c>
      <c r="E26" t="s">
        <v>42</v>
      </c>
      <c r="F26" t="s">
        <v>74</v>
      </c>
      <c r="G26" t="s">
        <v>51</v>
      </c>
      <c r="H26">
        <v>4</v>
      </c>
      <c r="I26">
        <v>3208</v>
      </c>
      <c r="J26" s="1">
        <v>44730</v>
      </c>
      <c r="K26" t="s">
        <v>67</v>
      </c>
      <c r="L26">
        <v>1</v>
      </c>
      <c r="M26">
        <v>2.54</v>
      </c>
      <c r="N26" t="s">
        <v>74</v>
      </c>
      <c r="O26" t="s">
        <v>80</v>
      </c>
      <c r="P26" s="5">
        <v>12832</v>
      </c>
      <c r="Q26">
        <f t="shared" si="0"/>
        <v>2567.4</v>
      </c>
      <c r="R26" t="s">
        <v>189</v>
      </c>
      <c r="S26">
        <f>COUNTIF(L:L,4)</f>
        <v>19</v>
      </c>
    </row>
    <row r="27" spans="1:24" x14ac:dyDescent="0.3">
      <c r="A27" t="s">
        <v>84</v>
      </c>
      <c r="B27" t="s">
        <v>54</v>
      </c>
      <c r="C27">
        <v>42</v>
      </c>
      <c r="D27" t="s">
        <v>25</v>
      </c>
      <c r="E27" t="s">
        <v>42</v>
      </c>
      <c r="F27" t="s">
        <v>19</v>
      </c>
      <c r="G27" t="s">
        <v>60</v>
      </c>
      <c r="H27">
        <v>4</v>
      </c>
      <c r="I27">
        <v>4190</v>
      </c>
      <c r="J27" s="1">
        <v>44737</v>
      </c>
      <c r="K27" t="s">
        <v>67</v>
      </c>
      <c r="L27">
        <v>5</v>
      </c>
      <c r="M27">
        <v>14.07</v>
      </c>
      <c r="N27" t="s">
        <v>19</v>
      </c>
      <c r="O27" t="s">
        <v>80</v>
      </c>
      <c r="P27" s="5">
        <v>16760</v>
      </c>
      <c r="Q27">
        <f t="shared" si="0"/>
        <v>3353</v>
      </c>
      <c r="R27" t="s">
        <v>190</v>
      </c>
      <c r="S27">
        <f>COUNTIF(L:L,5)</f>
        <v>22</v>
      </c>
    </row>
    <row r="28" spans="1:24" x14ac:dyDescent="0.3">
      <c r="A28" t="s">
        <v>85</v>
      </c>
      <c r="B28" t="s">
        <v>30</v>
      </c>
      <c r="C28">
        <v>44</v>
      </c>
      <c r="D28" t="s">
        <v>17</v>
      </c>
      <c r="E28" t="s">
        <v>26</v>
      </c>
      <c r="F28" t="s">
        <v>43</v>
      </c>
      <c r="G28" t="s">
        <v>20</v>
      </c>
      <c r="H28">
        <v>5</v>
      </c>
      <c r="I28">
        <v>2156</v>
      </c>
      <c r="J28" s="1">
        <v>44744</v>
      </c>
      <c r="K28" t="s">
        <v>28</v>
      </c>
      <c r="L28">
        <v>4</v>
      </c>
      <c r="M28">
        <v>10.52</v>
      </c>
      <c r="N28" t="s">
        <v>43</v>
      </c>
      <c r="O28" t="s">
        <v>86</v>
      </c>
      <c r="P28" s="5">
        <v>10780</v>
      </c>
      <c r="Q28">
        <f t="shared" si="0"/>
        <v>2157</v>
      </c>
    </row>
    <row r="29" spans="1:24" x14ac:dyDescent="0.3">
      <c r="A29" t="s">
        <v>87</v>
      </c>
      <c r="B29" t="s">
        <v>24</v>
      </c>
      <c r="C29">
        <v>59</v>
      </c>
      <c r="D29" t="s">
        <v>25</v>
      </c>
      <c r="E29" t="s">
        <v>55</v>
      </c>
      <c r="F29" t="s">
        <v>19</v>
      </c>
      <c r="G29" t="s">
        <v>88</v>
      </c>
      <c r="H29">
        <v>7</v>
      </c>
      <c r="I29">
        <v>3270</v>
      </c>
      <c r="J29" s="1">
        <v>44751</v>
      </c>
      <c r="K29" t="s">
        <v>33</v>
      </c>
      <c r="L29">
        <v>2</v>
      </c>
      <c r="M29">
        <v>6.42</v>
      </c>
      <c r="N29" t="s">
        <v>19</v>
      </c>
      <c r="O29" t="s">
        <v>86</v>
      </c>
      <c r="P29" s="5">
        <v>22890</v>
      </c>
      <c r="Q29">
        <f t="shared" si="0"/>
        <v>4579</v>
      </c>
      <c r="R29" t="s">
        <v>191</v>
      </c>
      <c r="S29">
        <f xml:space="preserve"> COUNTA(L:L)</f>
        <v>101</v>
      </c>
    </row>
    <row r="30" spans="1:24" x14ac:dyDescent="0.3">
      <c r="A30" t="s">
        <v>89</v>
      </c>
      <c r="B30" t="s">
        <v>41</v>
      </c>
      <c r="C30">
        <v>45</v>
      </c>
      <c r="D30" t="s">
        <v>17</v>
      </c>
      <c r="E30" t="s">
        <v>36</v>
      </c>
      <c r="F30" t="s">
        <v>37</v>
      </c>
      <c r="G30" t="s">
        <v>44</v>
      </c>
      <c r="H30">
        <v>7</v>
      </c>
      <c r="I30">
        <v>1782</v>
      </c>
      <c r="J30" s="1">
        <v>44758</v>
      </c>
      <c r="K30" t="s">
        <v>38</v>
      </c>
      <c r="L30">
        <v>1</v>
      </c>
      <c r="M30">
        <v>12.81</v>
      </c>
      <c r="N30" t="s">
        <v>37</v>
      </c>
      <c r="O30" t="s">
        <v>86</v>
      </c>
      <c r="P30" s="5">
        <v>12474</v>
      </c>
      <c r="Q30">
        <f t="shared" si="0"/>
        <v>2495.8000000000002</v>
      </c>
    </row>
    <row r="31" spans="1:24" x14ac:dyDescent="0.3">
      <c r="A31" t="s">
        <v>90</v>
      </c>
      <c r="B31" t="s">
        <v>59</v>
      </c>
      <c r="C31">
        <v>33</v>
      </c>
      <c r="D31" t="s">
        <v>25</v>
      </c>
      <c r="E31" t="s">
        <v>42</v>
      </c>
      <c r="F31" t="s">
        <v>43</v>
      </c>
      <c r="G31" t="s">
        <v>44</v>
      </c>
      <c r="H31">
        <v>4</v>
      </c>
      <c r="I31">
        <v>2355</v>
      </c>
      <c r="J31" s="1">
        <v>44765</v>
      </c>
      <c r="K31" t="s">
        <v>67</v>
      </c>
      <c r="L31">
        <v>4</v>
      </c>
      <c r="M31">
        <v>21.92</v>
      </c>
      <c r="N31" t="s">
        <v>43</v>
      </c>
      <c r="O31" t="s">
        <v>86</v>
      </c>
      <c r="P31" s="5">
        <v>9420</v>
      </c>
      <c r="Q31">
        <f t="shared" si="0"/>
        <v>1885</v>
      </c>
      <c r="R31" t="s">
        <v>197</v>
      </c>
      <c r="S31" t="s">
        <v>196</v>
      </c>
    </row>
    <row r="32" spans="1:24" x14ac:dyDescent="0.3">
      <c r="A32" t="s">
        <v>91</v>
      </c>
      <c r="B32" t="s">
        <v>92</v>
      </c>
      <c r="C32">
        <v>32</v>
      </c>
      <c r="D32" t="s">
        <v>17</v>
      </c>
      <c r="E32" t="s">
        <v>42</v>
      </c>
      <c r="F32" t="s">
        <v>37</v>
      </c>
      <c r="G32" t="s">
        <v>88</v>
      </c>
      <c r="H32">
        <v>7</v>
      </c>
      <c r="I32">
        <v>1254</v>
      </c>
      <c r="J32" s="1">
        <v>44772</v>
      </c>
      <c r="K32" t="s">
        <v>33</v>
      </c>
      <c r="L32">
        <v>5</v>
      </c>
      <c r="M32">
        <v>10.11</v>
      </c>
      <c r="N32" t="s">
        <v>37</v>
      </c>
      <c r="O32" t="s">
        <v>86</v>
      </c>
      <c r="P32" s="5">
        <v>8778</v>
      </c>
      <c r="Q32">
        <f t="shared" si="0"/>
        <v>1756.6000000000001</v>
      </c>
      <c r="R32" t="s">
        <v>192</v>
      </c>
      <c r="S32">
        <f>S23/S29*100</f>
        <v>18.811881188118811</v>
      </c>
      <c r="V32">
        <v>18.811</v>
      </c>
    </row>
    <row r="33" spans="1:22" x14ac:dyDescent="0.3">
      <c r="A33" t="s">
        <v>93</v>
      </c>
      <c r="B33" t="s">
        <v>30</v>
      </c>
      <c r="C33">
        <v>20</v>
      </c>
      <c r="D33" t="s">
        <v>17</v>
      </c>
      <c r="E33" t="s">
        <v>36</v>
      </c>
      <c r="F33" t="s">
        <v>74</v>
      </c>
      <c r="G33" t="s">
        <v>32</v>
      </c>
      <c r="H33">
        <v>3</v>
      </c>
      <c r="I33">
        <v>4599</v>
      </c>
      <c r="J33" s="1">
        <v>44779</v>
      </c>
      <c r="K33" t="s">
        <v>33</v>
      </c>
      <c r="L33">
        <v>4</v>
      </c>
      <c r="M33">
        <v>7.18</v>
      </c>
      <c r="N33" t="s">
        <v>74</v>
      </c>
      <c r="O33" t="s">
        <v>94</v>
      </c>
      <c r="P33" s="5">
        <v>13797</v>
      </c>
      <c r="Q33">
        <f t="shared" si="0"/>
        <v>2760.4</v>
      </c>
      <c r="R33" t="s">
        <v>193</v>
      </c>
      <c r="S33">
        <f>S24/S29*100</f>
        <v>26.732673267326735</v>
      </c>
      <c r="V33">
        <v>26.732600000000001</v>
      </c>
    </row>
    <row r="34" spans="1:22" x14ac:dyDescent="0.3">
      <c r="A34" t="s">
        <v>95</v>
      </c>
      <c r="B34" t="s">
        <v>41</v>
      </c>
      <c r="C34">
        <v>54</v>
      </c>
      <c r="D34" t="s">
        <v>25</v>
      </c>
      <c r="E34" t="s">
        <v>36</v>
      </c>
      <c r="F34" t="s">
        <v>43</v>
      </c>
      <c r="G34" t="s">
        <v>27</v>
      </c>
      <c r="H34">
        <v>6</v>
      </c>
      <c r="I34">
        <v>3291</v>
      </c>
      <c r="J34" s="1">
        <v>44786</v>
      </c>
      <c r="K34" t="s">
        <v>38</v>
      </c>
      <c r="L34">
        <v>1</v>
      </c>
      <c r="M34">
        <v>28.97</v>
      </c>
      <c r="N34" t="s">
        <v>43</v>
      </c>
      <c r="O34" t="s">
        <v>94</v>
      </c>
      <c r="P34" s="5">
        <v>19746</v>
      </c>
      <c r="Q34">
        <f t="shared" si="0"/>
        <v>3950.2000000000003</v>
      </c>
      <c r="R34" t="s">
        <v>194</v>
      </c>
      <c r="S34">
        <f>S25/S29*100</f>
        <v>12.871287128712872</v>
      </c>
      <c r="V34">
        <v>12.8712</v>
      </c>
    </row>
    <row r="35" spans="1:22" x14ac:dyDescent="0.3">
      <c r="A35" t="s">
        <v>96</v>
      </c>
      <c r="B35" t="s">
        <v>35</v>
      </c>
      <c r="C35">
        <v>24</v>
      </c>
      <c r="D35" t="s">
        <v>17</v>
      </c>
      <c r="E35" t="s">
        <v>47</v>
      </c>
      <c r="F35" t="s">
        <v>37</v>
      </c>
      <c r="G35" t="s">
        <v>44</v>
      </c>
      <c r="H35">
        <v>2</v>
      </c>
      <c r="I35">
        <v>1796</v>
      </c>
      <c r="J35" s="1">
        <v>44793</v>
      </c>
      <c r="K35" t="s">
        <v>28</v>
      </c>
      <c r="L35">
        <v>4</v>
      </c>
      <c r="M35">
        <v>6.33</v>
      </c>
      <c r="N35" t="s">
        <v>37</v>
      </c>
      <c r="O35" t="s">
        <v>94</v>
      </c>
      <c r="P35" s="5">
        <v>3592</v>
      </c>
      <c r="Q35">
        <f t="shared" si="0"/>
        <v>719.40000000000009</v>
      </c>
      <c r="R35" t="s">
        <v>198</v>
      </c>
      <c r="S35">
        <f>S26/S29*100</f>
        <v>18.811881188118811</v>
      </c>
      <c r="V35">
        <v>18.811</v>
      </c>
    </row>
    <row r="36" spans="1:22" x14ac:dyDescent="0.3">
      <c r="A36" t="s">
        <v>97</v>
      </c>
      <c r="B36" t="s">
        <v>92</v>
      </c>
      <c r="C36">
        <v>38</v>
      </c>
      <c r="D36" t="s">
        <v>17</v>
      </c>
      <c r="E36" t="s">
        <v>47</v>
      </c>
      <c r="F36" t="s">
        <v>37</v>
      </c>
      <c r="G36" t="s">
        <v>44</v>
      </c>
      <c r="H36">
        <v>9</v>
      </c>
      <c r="I36">
        <v>4091</v>
      </c>
      <c r="J36" s="1">
        <v>44800</v>
      </c>
      <c r="K36" t="s">
        <v>33</v>
      </c>
      <c r="L36">
        <v>3</v>
      </c>
      <c r="M36">
        <v>3.86</v>
      </c>
      <c r="N36" t="s">
        <v>37</v>
      </c>
      <c r="O36" t="s">
        <v>94</v>
      </c>
      <c r="P36" s="5">
        <v>36819</v>
      </c>
      <c r="Q36">
        <f t="shared" si="0"/>
        <v>7364.8</v>
      </c>
      <c r="R36" t="s">
        <v>195</v>
      </c>
      <c r="S36">
        <f>S27/S29*100</f>
        <v>21.782178217821784</v>
      </c>
      <c r="V36">
        <v>21.7821</v>
      </c>
    </row>
    <row r="37" spans="1:22" x14ac:dyDescent="0.3">
      <c r="A37" t="s">
        <v>98</v>
      </c>
      <c r="B37" t="s">
        <v>16</v>
      </c>
      <c r="C37">
        <v>26</v>
      </c>
      <c r="D37" t="s">
        <v>25</v>
      </c>
      <c r="E37" t="s">
        <v>18</v>
      </c>
      <c r="F37" t="s">
        <v>43</v>
      </c>
      <c r="G37" t="s">
        <v>20</v>
      </c>
      <c r="H37">
        <v>5</v>
      </c>
      <c r="I37">
        <v>4823</v>
      </c>
      <c r="J37" s="1">
        <v>44807</v>
      </c>
      <c r="K37" t="s">
        <v>33</v>
      </c>
      <c r="L37">
        <v>4</v>
      </c>
      <c r="M37">
        <v>5.75</v>
      </c>
      <c r="N37" t="s">
        <v>43</v>
      </c>
      <c r="O37" t="s">
        <v>99</v>
      </c>
      <c r="P37" s="5">
        <v>24115</v>
      </c>
      <c r="Q37">
        <f t="shared" si="0"/>
        <v>4824</v>
      </c>
    </row>
    <row r="38" spans="1:22" x14ac:dyDescent="0.3">
      <c r="A38" t="s">
        <v>100</v>
      </c>
      <c r="B38" t="s">
        <v>16</v>
      </c>
      <c r="C38">
        <v>56</v>
      </c>
      <c r="D38" t="s">
        <v>17</v>
      </c>
      <c r="E38" t="s">
        <v>18</v>
      </c>
      <c r="F38" t="s">
        <v>62</v>
      </c>
      <c r="G38" t="s">
        <v>44</v>
      </c>
      <c r="H38">
        <v>6</v>
      </c>
      <c r="I38">
        <v>4782</v>
      </c>
      <c r="J38" s="1">
        <v>44814</v>
      </c>
      <c r="K38" t="s">
        <v>33</v>
      </c>
      <c r="L38">
        <v>2</v>
      </c>
      <c r="M38">
        <v>20.09</v>
      </c>
      <c r="N38" t="s">
        <v>62</v>
      </c>
      <c r="O38" t="s">
        <v>99</v>
      </c>
      <c r="P38" s="5">
        <v>28692</v>
      </c>
      <c r="Q38">
        <f t="shared" si="0"/>
        <v>5739.4000000000005</v>
      </c>
      <c r="R38" t="s">
        <v>197</v>
      </c>
      <c r="S38" t="s">
        <v>196</v>
      </c>
    </row>
    <row r="39" spans="1:22" x14ac:dyDescent="0.3">
      <c r="A39" t="s">
        <v>101</v>
      </c>
      <c r="B39" t="s">
        <v>59</v>
      </c>
      <c r="C39">
        <v>35</v>
      </c>
      <c r="D39" t="s">
        <v>17</v>
      </c>
      <c r="E39" t="s">
        <v>18</v>
      </c>
      <c r="F39" t="s">
        <v>19</v>
      </c>
      <c r="G39" t="s">
        <v>60</v>
      </c>
      <c r="H39">
        <v>4</v>
      </c>
      <c r="I39">
        <v>1748</v>
      </c>
      <c r="J39" s="1">
        <v>44821</v>
      </c>
      <c r="K39" t="s">
        <v>28</v>
      </c>
      <c r="L39">
        <v>2</v>
      </c>
      <c r="M39">
        <v>28.6</v>
      </c>
      <c r="N39" t="s">
        <v>19</v>
      </c>
      <c r="O39" t="s">
        <v>99</v>
      </c>
      <c r="P39" s="5">
        <v>6992</v>
      </c>
      <c r="Q39">
        <f t="shared" si="0"/>
        <v>1399.4</v>
      </c>
      <c r="R39" t="s">
        <v>192</v>
      </c>
    </row>
    <row r="40" spans="1:22" x14ac:dyDescent="0.3">
      <c r="A40" t="s">
        <v>102</v>
      </c>
      <c r="B40" t="s">
        <v>16</v>
      </c>
      <c r="C40">
        <v>21</v>
      </c>
      <c r="D40" t="s">
        <v>25</v>
      </c>
      <c r="E40" t="s">
        <v>47</v>
      </c>
      <c r="F40" t="s">
        <v>48</v>
      </c>
      <c r="G40" t="s">
        <v>32</v>
      </c>
      <c r="H40">
        <v>7</v>
      </c>
      <c r="I40">
        <v>1545</v>
      </c>
      <c r="J40" s="1">
        <v>44828</v>
      </c>
      <c r="K40" t="s">
        <v>28</v>
      </c>
      <c r="L40">
        <v>3</v>
      </c>
      <c r="M40">
        <v>13.93</v>
      </c>
      <c r="N40" t="s">
        <v>48</v>
      </c>
      <c r="O40" t="s">
        <v>99</v>
      </c>
      <c r="P40" s="5">
        <v>10815</v>
      </c>
      <c r="Q40">
        <f t="shared" si="0"/>
        <v>2164</v>
      </c>
      <c r="R40" t="s">
        <v>193</v>
      </c>
    </row>
    <row r="41" spans="1:22" x14ac:dyDescent="0.3">
      <c r="A41" t="s">
        <v>103</v>
      </c>
      <c r="B41" t="s">
        <v>92</v>
      </c>
      <c r="C41">
        <v>42</v>
      </c>
      <c r="D41" t="s">
        <v>25</v>
      </c>
      <c r="E41" t="s">
        <v>36</v>
      </c>
      <c r="F41" t="s">
        <v>37</v>
      </c>
      <c r="G41" t="s">
        <v>27</v>
      </c>
      <c r="H41">
        <v>9</v>
      </c>
      <c r="I41">
        <v>4299</v>
      </c>
      <c r="J41" s="1">
        <v>44835</v>
      </c>
      <c r="K41" t="s">
        <v>67</v>
      </c>
      <c r="L41">
        <v>1</v>
      </c>
      <c r="M41">
        <v>23.09</v>
      </c>
      <c r="N41" t="s">
        <v>37</v>
      </c>
      <c r="O41" t="s">
        <v>104</v>
      </c>
      <c r="P41" s="5">
        <v>38691</v>
      </c>
      <c r="Q41">
        <f t="shared" si="0"/>
        <v>7739.2000000000007</v>
      </c>
      <c r="R41" t="s">
        <v>194</v>
      </c>
    </row>
    <row r="42" spans="1:22" x14ac:dyDescent="0.3">
      <c r="A42" t="s">
        <v>105</v>
      </c>
      <c r="B42" t="s">
        <v>92</v>
      </c>
      <c r="C42">
        <v>31</v>
      </c>
      <c r="D42" t="s">
        <v>17</v>
      </c>
      <c r="E42" t="s">
        <v>18</v>
      </c>
      <c r="F42" t="s">
        <v>19</v>
      </c>
      <c r="G42" t="s">
        <v>51</v>
      </c>
      <c r="H42">
        <v>7</v>
      </c>
      <c r="I42">
        <v>4023</v>
      </c>
      <c r="J42" s="1">
        <v>44842</v>
      </c>
      <c r="K42" t="s">
        <v>67</v>
      </c>
      <c r="L42">
        <v>2</v>
      </c>
      <c r="M42">
        <v>5.16</v>
      </c>
      <c r="N42" t="s">
        <v>19</v>
      </c>
      <c r="O42" t="s">
        <v>104</v>
      </c>
      <c r="P42" s="5">
        <v>28161</v>
      </c>
      <c r="Q42">
        <f t="shared" si="0"/>
        <v>5633.2000000000007</v>
      </c>
      <c r="R42" t="s">
        <v>198</v>
      </c>
    </row>
    <row r="43" spans="1:22" x14ac:dyDescent="0.3">
      <c r="A43" t="s">
        <v>106</v>
      </c>
      <c r="B43" t="s">
        <v>54</v>
      </c>
      <c r="C43">
        <v>26</v>
      </c>
      <c r="D43" t="s">
        <v>17</v>
      </c>
      <c r="E43" t="s">
        <v>42</v>
      </c>
      <c r="F43" t="s">
        <v>48</v>
      </c>
      <c r="G43" t="s">
        <v>27</v>
      </c>
      <c r="H43">
        <v>1</v>
      </c>
      <c r="I43">
        <v>353</v>
      </c>
      <c r="J43" s="1">
        <v>44849</v>
      </c>
      <c r="K43" t="s">
        <v>33</v>
      </c>
      <c r="L43">
        <v>5</v>
      </c>
      <c r="M43">
        <v>8.24</v>
      </c>
      <c r="N43" t="s">
        <v>48</v>
      </c>
      <c r="O43" t="s">
        <v>104</v>
      </c>
      <c r="P43" s="5">
        <v>353</v>
      </c>
      <c r="Q43">
        <f t="shared" si="0"/>
        <v>71.600000000000009</v>
      </c>
      <c r="R43" t="s">
        <v>195</v>
      </c>
    </row>
    <row r="44" spans="1:22" x14ac:dyDescent="0.3">
      <c r="A44" t="s">
        <v>107</v>
      </c>
      <c r="B44" t="s">
        <v>30</v>
      </c>
      <c r="C44">
        <v>43</v>
      </c>
      <c r="D44" t="s">
        <v>25</v>
      </c>
      <c r="E44" t="s">
        <v>47</v>
      </c>
      <c r="F44" t="s">
        <v>19</v>
      </c>
      <c r="G44" t="s">
        <v>32</v>
      </c>
      <c r="H44">
        <v>1</v>
      </c>
      <c r="I44">
        <v>3283</v>
      </c>
      <c r="J44" s="1">
        <v>44856</v>
      </c>
      <c r="K44" t="s">
        <v>28</v>
      </c>
      <c r="L44">
        <v>2</v>
      </c>
      <c r="M44">
        <v>7.71</v>
      </c>
      <c r="N44" t="s">
        <v>19</v>
      </c>
      <c r="O44" t="s">
        <v>104</v>
      </c>
      <c r="P44" s="5">
        <v>3283</v>
      </c>
      <c r="Q44">
        <f t="shared" si="0"/>
        <v>657.6</v>
      </c>
    </row>
    <row r="45" spans="1:22" x14ac:dyDescent="0.3">
      <c r="A45" t="s">
        <v>108</v>
      </c>
      <c r="B45" t="s">
        <v>24</v>
      </c>
      <c r="C45">
        <v>19</v>
      </c>
      <c r="D45" t="s">
        <v>25</v>
      </c>
      <c r="E45" t="s">
        <v>18</v>
      </c>
      <c r="F45" t="s">
        <v>74</v>
      </c>
      <c r="G45" t="s">
        <v>56</v>
      </c>
      <c r="H45">
        <v>9</v>
      </c>
      <c r="I45">
        <v>2657</v>
      </c>
      <c r="J45" s="1">
        <v>44863</v>
      </c>
      <c r="K45" t="s">
        <v>28</v>
      </c>
      <c r="L45">
        <v>2</v>
      </c>
      <c r="M45">
        <v>3.14</v>
      </c>
      <c r="N45" t="s">
        <v>74</v>
      </c>
      <c r="O45" t="s">
        <v>104</v>
      </c>
      <c r="P45" s="5">
        <v>23913</v>
      </c>
      <c r="Q45">
        <f t="shared" si="0"/>
        <v>4783.6000000000004</v>
      </c>
    </row>
    <row r="46" spans="1:22" x14ac:dyDescent="0.3">
      <c r="A46" t="s">
        <v>109</v>
      </c>
      <c r="B46" t="s">
        <v>83</v>
      </c>
      <c r="C46">
        <v>37</v>
      </c>
      <c r="D46" t="s">
        <v>17</v>
      </c>
      <c r="E46" t="s">
        <v>42</v>
      </c>
      <c r="F46" t="s">
        <v>48</v>
      </c>
      <c r="G46" t="s">
        <v>60</v>
      </c>
      <c r="H46">
        <v>9</v>
      </c>
      <c r="I46">
        <v>198</v>
      </c>
      <c r="J46" s="1">
        <v>44870</v>
      </c>
      <c r="K46" t="s">
        <v>38</v>
      </c>
      <c r="L46">
        <v>1</v>
      </c>
      <c r="M46">
        <v>27.33</v>
      </c>
      <c r="N46" t="s">
        <v>48</v>
      </c>
      <c r="O46" t="s">
        <v>110</v>
      </c>
      <c r="P46" s="5">
        <v>1782</v>
      </c>
      <c r="Q46">
        <f t="shared" si="0"/>
        <v>357.40000000000003</v>
      </c>
    </row>
    <row r="47" spans="1:22" x14ac:dyDescent="0.3">
      <c r="A47" t="s">
        <v>111</v>
      </c>
      <c r="B47" t="s">
        <v>50</v>
      </c>
      <c r="C47">
        <v>45</v>
      </c>
      <c r="D47" t="s">
        <v>17</v>
      </c>
      <c r="E47" t="s">
        <v>18</v>
      </c>
      <c r="F47" t="s">
        <v>19</v>
      </c>
      <c r="G47" t="s">
        <v>56</v>
      </c>
      <c r="H47">
        <v>4</v>
      </c>
      <c r="I47">
        <v>2300</v>
      </c>
      <c r="J47" s="1">
        <v>44877</v>
      </c>
      <c r="K47" t="s">
        <v>33</v>
      </c>
      <c r="L47">
        <v>4</v>
      </c>
      <c r="M47">
        <v>25.01</v>
      </c>
      <c r="N47" t="s">
        <v>19</v>
      </c>
      <c r="O47" t="s">
        <v>110</v>
      </c>
      <c r="P47" s="5">
        <v>9200</v>
      </c>
      <c r="Q47">
        <f t="shared" si="0"/>
        <v>1841</v>
      </c>
    </row>
    <row r="48" spans="1:22" x14ac:dyDescent="0.3">
      <c r="A48" t="s">
        <v>112</v>
      </c>
      <c r="B48" t="s">
        <v>16</v>
      </c>
      <c r="C48">
        <v>24</v>
      </c>
      <c r="D48" t="s">
        <v>17</v>
      </c>
      <c r="E48" t="s">
        <v>31</v>
      </c>
      <c r="F48" t="s">
        <v>37</v>
      </c>
      <c r="G48" t="s">
        <v>32</v>
      </c>
      <c r="H48">
        <v>9</v>
      </c>
      <c r="I48">
        <v>3061</v>
      </c>
      <c r="J48" s="1">
        <v>44884</v>
      </c>
      <c r="K48" t="s">
        <v>67</v>
      </c>
      <c r="L48">
        <v>2</v>
      </c>
      <c r="M48">
        <v>27.08</v>
      </c>
      <c r="N48" t="s">
        <v>37</v>
      </c>
      <c r="O48" t="s">
        <v>110</v>
      </c>
      <c r="P48" s="5">
        <v>27549</v>
      </c>
      <c r="Q48">
        <f t="shared" si="0"/>
        <v>5510.8</v>
      </c>
    </row>
    <row r="49" spans="1:17" x14ac:dyDescent="0.3">
      <c r="A49" t="s">
        <v>113</v>
      </c>
      <c r="B49" t="s">
        <v>59</v>
      </c>
      <c r="C49">
        <v>25</v>
      </c>
      <c r="D49" t="s">
        <v>17</v>
      </c>
      <c r="E49" t="s">
        <v>36</v>
      </c>
      <c r="F49" t="s">
        <v>48</v>
      </c>
      <c r="G49" t="s">
        <v>20</v>
      </c>
      <c r="H49">
        <v>3</v>
      </c>
      <c r="I49">
        <v>4533</v>
      </c>
      <c r="J49" s="1">
        <v>44891</v>
      </c>
      <c r="K49" t="s">
        <v>38</v>
      </c>
      <c r="L49">
        <v>3</v>
      </c>
      <c r="M49">
        <v>2.4500000000000002</v>
      </c>
      <c r="N49" t="s">
        <v>48</v>
      </c>
      <c r="O49" t="s">
        <v>110</v>
      </c>
      <c r="P49" s="5">
        <v>13599</v>
      </c>
      <c r="Q49">
        <f t="shared" si="0"/>
        <v>2720.8</v>
      </c>
    </row>
    <row r="50" spans="1:17" x14ac:dyDescent="0.3">
      <c r="A50" t="s">
        <v>114</v>
      </c>
      <c r="B50" t="s">
        <v>16</v>
      </c>
      <c r="C50">
        <v>52</v>
      </c>
      <c r="D50" t="s">
        <v>17</v>
      </c>
      <c r="E50" t="s">
        <v>36</v>
      </c>
      <c r="F50" t="s">
        <v>74</v>
      </c>
      <c r="G50" t="s">
        <v>51</v>
      </c>
      <c r="H50">
        <v>7</v>
      </c>
      <c r="I50">
        <v>3877</v>
      </c>
      <c r="J50" s="1">
        <v>44898</v>
      </c>
      <c r="K50" t="s">
        <v>28</v>
      </c>
      <c r="L50">
        <v>4</v>
      </c>
      <c r="M50">
        <v>26.25</v>
      </c>
      <c r="N50" t="s">
        <v>74</v>
      </c>
      <c r="O50" t="s">
        <v>115</v>
      </c>
      <c r="P50" s="5">
        <v>27139</v>
      </c>
      <c r="Q50">
        <f t="shared" si="0"/>
        <v>5428.8</v>
      </c>
    </row>
    <row r="51" spans="1:17" x14ac:dyDescent="0.3">
      <c r="A51" t="s">
        <v>116</v>
      </c>
      <c r="B51" t="s">
        <v>50</v>
      </c>
      <c r="C51">
        <v>31</v>
      </c>
      <c r="D51" t="s">
        <v>25</v>
      </c>
      <c r="E51" t="s">
        <v>18</v>
      </c>
      <c r="F51" t="s">
        <v>43</v>
      </c>
      <c r="G51" t="s">
        <v>27</v>
      </c>
      <c r="H51">
        <v>6</v>
      </c>
      <c r="I51">
        <v>2969</v>
      </c>
      <c r="J51" s="1">
        <v>44905</v>
      </c>
      <c r="K51" t="s">
        <v>67</v>
      </c>
      <c r="L51">
        <v>5</v>
      </c>
      <c r="M51">
        <v>4.91</v>
      </c>
      <c r="N51" t="s">
        <v>43</v>
      </c>
      <c r="O51" t="s">
        <v>115</v>
      </c>
      <c r="P51" s="5">
        <v>17814</v>
      </c>
      <c r="Q51">
        <f t="shared" si="0"/>
        <v>3563.8</v>
      </c>
    </row>
    <row r="52" spans="1:17" x14ac:dyDescent="0.3">
      <c r="A52" t="s">
        <v>117</v>
      </c>
      <c r="B52" t="s">
        <v>30</v>
      </c>
      <c r="C52">
        <v>34</v>
      </c>
      <c r="D52" t="s">
        <v>17</v>
      </c>
      <c r="E52" t="s">
        <v>31</v>
      </c>
      <c r="F52" t="s">
        <v>37</v>
      </c>
      <c r="G52" t="s">
        <v>65</v>
      </c>
      <c r="H52">
        <v>8</v>
      </c>
      <c r="I52">
        <v>3334</v>
      </c>
      <c r="J52" s="1">
        <v>44912</v>
      </c>
      <c r="K52" t="s">
        <v>33</v>
      </c>
      <c r="L52">
        <v>1</v>
      </c>
      <c r="M52">
        <v>2.2799999999999998</v>
      </c>
      <c r="N52" t="s">
        <v>37</v>
      </c>
      <c r="O52" t="s">
        <v>115</v>
      </c>
      <c r="P52" s="5">
        <v>26672</v>
      </c>
      <c r="Q52">
        <f t="shared" si="0"/>
        <v>5335.4000000000005</v>
      </c>
    </row>
    <row r="53" spans="1:17" x14ac:dyDescent="0.3">
      <c r="A53" t="s">
        <v>118</v>
      </c>
      <c r="B53" t="s">
        <v>54</v>
      </c>
      <c r="C53">
        <v>53</v>
      </c>
      <c r="D53" t="s">
        <v>17</v>
      </c>
      <c r="E53" t="s">
        <v>18</v>
      </c>
      <c r="F53" t="s">
        <v>74</v>
      </c>
      <c r="G53" t="s">
        <v>63</v>
      </c>
      <c r="H53">
        <v>9</v>
      </c>
      <c r="I53">
        <v>3891</v>
      </c>
      <c r="J53" s="1">
        <v>44919</v>
      </c>
      <c r="K53" t="s">
        <v>28</v>
      </c>
      <c r="L53">
        <v>5</v>
      </c>
      <c r="M53">
        <v>28.88</v>
      </c>
      <c r="N53" t="s">
        <v>74</v>
      </c>
      <c r="O53" t="s">
        <v>115</v>
      </c>
      <c r="P53" s="5">
        <v>35019</v>
      </c>
      <c r="Q53">
        <f t="shared" si="0"/>
        <v>7004.8</v>
      </c>
    </row>
    <row r="54" spans="1:17" x14ac:dyDescent="0.3">
      <c r="A54" t="s">
        <v>119</v>
      </c>
      <c r="B54" t="s">
        <v>92</v>
      </c>
      <c r="C54">
        <v>57</v>
      </c>
      <c r="D54" t="s">
        <v>17</v>
      </c>
      <c r="E54" t="s">
        <v>26</v>
      </c>
      <c r="F54" t="s">
        <v>74</v>
      </c>
      <c r="G54" t="s">
        <v>27</v>
      </c>
      <c r="H54">
        <v>5</v>
      </c>
      <c r="I54">
        <v>1056</v>
      </c>
      <c r="J54" s="1">
        <v>44926</v>
      </c>
      <c r="K54" t="s">
        <v>33</v>
      </c>
      <c r="L54">
        <v>4</v>
      </c>
      <c r="M54">
        <v>7.71</v>
      </c>
      <c r="N54" t="s">
        <v>74</v>
      </c>
      <c r="O54" t="s">
        <v>115</v>
      </c>
      <c r="P54" s="5">
        <v>5280</v>
      </c>
      <c r="Q54">
        <f t="shared" si="0"/>
        <v>1057</v>
      </c>
    </row>
    <row r="55" spans="1:17" x14ac:dyDescent="0.3">
      <c r="A55" t="s">
        <v>120</v>
      </c>
      <c r="B55" t="s">
        <v>54</v>
      </c>
      <c r="C55">
        <v>21</v>
      </c>
      <c r="D55" t="s">
        <v>25</v>
      </c>
      <c r="E55" t="s">
        <v>26</v>
      </c>
      <c r="F55" t="s">
        <v>48</v>
      </c>
      <c r="G55" t="s">
        <v>20</v>
      </c>
      <c r="H55">
        <v>1</v>
      </c>
      <c r="I55">
        <v>4167</v>
      </c>
      <c r="J55" s="1">
        <v>44933</v>
      </c>
      <c r="K55" t="s">
        <v>38</v>
      </c>
      <c r="L55">
        <v>4</v>
      </c>
      <c r="M55">
        <v>13.59</v>
      </c>
      <c r="N55" t="s">
        <v>48</v>
      </c>
      <c r="O55" t="s">
        <v>121</v>
      </c>
      <c r="P55" s="5">
        <v>4167</v>
      </c>
      <c r="Q55">
        <f t="shared" si="0"/>
        <v>834.40000000000009</v>
      </c>
    </row>
    <row r="56" spans="1:17" x14ac:dyDescent="0.3">
      <c r="A56" t="s">
        <v>122</v>
      </c>
      <c r="B56" t="s">
        <v>35</v>
      </c>
      <c r="C56">
        <v>19</v>
      </c>
      <c r="D56" t="s">
        <v>17</v>
      </c>
      <c r="E56" t="s">
        <v>36</v>
      </c>
      <c r="F56" t="s">
        <v>19</v>
      </c>
      <c r="G56" t="s">
        <v>51</v>
      </c>
      <c r="H56">
        <v>3</v>
      </c>
      <c r="I56">
        <v>260</v>
      </c>
      <c r="J56" s="1">
        <v>44940</v>
      </c>
      <c r="K56" t="s">
        <v>38</v>
      </c>
      <c r="L56">
        <v>4</v>
      </c>
      <c r="M56">
        <v>5.46</v>
      </c>
      <c r="N56" t="s">
        <v>19</v>
      </c>
      <c r="O56" t="s">
        <v>121</v>
      </c>
      <c r="P56" s="5">
        <v>780</v>
      </c>
      <c r="Q56">
        <f t="shared" si="0"/>
        <v>157</v>
      </c>
    </row>
    <row r="57" spans="1:17" x14ac:dyDescent="0.3">
      <c r="A57" t="s">
        <v>123</v>
      </c>
      <c r="B57" t="s">
        <v>16</v>
      </c>
      <c r="C57">
        <v>23</v>
      </c>
      <c r="D57" t="s">
        <v>25</v>
      </c>
      <c r="E57" t="s">
        <v>55</v>
      </c>
      <c r="F57" t="s">
        <v>43</v>
      </c>
      <c r="G57" t="s">
        <v>63</v>
      </c>
      <c r="H57">
        <v>8</v>
      </c>
      <c r="I57">
        <v>4593</v>
      </c>
      <c r="J57" s="1">
        <v>44947</v>
      </c>
      <c r="K57" t="s">
        <v>38</v>
      </c>
      <c r="L57">
        <v>5</v>
      </c>
      <c r="M57">
        <v>3.34</v>
      </c>
      <c r="N57" t="s">
        <v>43</v>
      </c>
      <c r="O57" t="s">
        <v>121</v>
      </c>
      <c r="P57" s="5">
        <v>36744</v>
      </c>
      <c r="Q57">
        <f t="shared" si="0"/>
        <v>7349.8</v>
      </c>
    </row>
    <row r="58" spans="1:17" x14ac:dyDescent="0.3">
      <c r="A58" t="s">
        <v>124</v>
      </c>
      <c r="B58" t="s">
        <v>24</v>
      </c>
      <c r="C58">
        <v>59</v>
      </c>
      <c r="D58" t="s">
        <v>25</v>
      </c>
      <c r="E58" t="s">
        <v>26</v>
      </c>
      <c r="F58" t="s">
        <v>37</v>
      </c>
      <c r="G58" t="s">
        <v>60</v>
      </c>
      <c r="H58">
        <v>6</v>
      </c>
      <c r="I58">
        <v>1400</v>
      </c>
      <c r="J58" s="1">
        <v>44954</v>
      </c>
      <c r="K58" t="s">
        <v>21</v>
      </c>
      <c r="L58">
        <v>4</v>
      </c>
      <c r="M58">
        <v>17.25</v>
      </c>
      <c r="N58" t="s">
        <v>37</v>
      </c>
      <c r="O58" t="s">
        <v>121</v>
      </c>
      <c r="P58" s="5">
        <v>8400</v>
      </c>
      <c r="Q58">
        <f t="shared" si="0"/>
        <v>1681</v>
      </c>
    </row>
    <row r="59" spans="1:17" x14ac:dyDescent="0.3">
      <c r="A59" t="s">
        <v>125</v>
      </c>
      <c r="B59" t="s">
        <v>35</v>
      </c>
      <c r="C59">
        <v>21</v>
      </c>
      <c r="D59" t="s">
        <v>17</v>
      </c>
      <c r="E59" t="s">
        <v>26</v>
      </c>
      <c r="F59" t="s">
        <v>37</v>
      </c>
      <c r="G59" t="s">
        <v>32</v>
      </c>
      <c r="H59">
        <v>8</v>
      </c>
      <c r="I59">
        <v>4087</v>
      </c>
      <c r="J59" s="1">
        <v>44961</v>
      </c>
      <c r="K59" t="s">
        <v>33</v>
      </c>
      <c r="L59">
        <v>5</v>
      </c>
      <c r="M59">
        <v>28.89</v>
      </c>
      <c r="N59" t="s">
        <v>37</v>
      </c>
      <c r="O59" t="s">
        <v>126</v>
      </c>
      <c r="P59" s="5">
        <v>32696</v>
      </c>
      <c r="Q59">
        <f t="shared" si="0"/>
        <v>6540.2000000000007</v>
      </c>
    </row>
    <row r="60" spans="1:17" x14ac:dyDescent="0.3">
      <c r="A60" t="s">
        <v>127</v>
      </c>
      <c r="B60" t="s">
        <v>30</v>
      </c>
      <c r="C60">
        <v>46</v>
      </c>
      <c r="D60" t="s">
        <v>17</v>
      </c>
      <c r="E60" t="s">
        <v>18</v>
      </c>
      <c r="F60" t="s">
        <v>19</v>
      </c>
      <c r="G60" t="s">
        <v>32</v>
      </c>
      <c r="H60">
        <v>9</v>
      </c>
      <c r="I60">
        <v>1627</v>
      </c>
      <c r="J60" s="1">
        <v>44968</v>
      </c>
      <c r="K60" t="s">
        <v>38</v>
      </c>
      <c r="L60">
        <v>4</v>
      </c>
      <c r="M60">
        <v>13.1</v>
      </c>
      <c r="N60" t="s">
        <v>19</v>
      </c>
      <c r="O60" t="s">
        <v>126</v>
      </c>
      <c r="P60" s="5">
        <v>14643</v>
      </c>
      <c r="Q60">
        <f t="shared" si="0"/>
        <v>2929.6000000000004</v>
      </c>
    </row>
    <row r="61" spans="1:17" x14ac:dyDescent="0.3">
      <c r="A61" t="s">
        <v>128</v>
      </c>
      <c r="B61" t="s">
        <v>16</v>
      </c>
      <c r="C61">
        <v>35</v>
      </c>
      <c r="D61" t="s">
        <v>25</v>
      </c>
      <c r="E61" t="s">
        <v>47</v>
      </c>
      <c r="F61" t="s">
        <v>43</v>
      </c>
      <c r="G61" t="s">
        <v>60</v>
      </c>
      <c r="H61">
        <v>4</v>
      </c>
      <c r="I61">
        <v>1318</v>
      </c>
      <c r="J61" s="1">
        <v>44975</v>
      </c>
      <c r="K61" t="s">
        <v>38</v>
      </c>
      <c r="L61">
        <v>3</v>
      </c>
      <c r="M61">
        <v>18.399999999999999</v>
      </c>
      <c r="N61" t="s">
        <v>43</v>
      </c>
      <c r="O61" t="s">
        <v>126</v>
      </c>
      <c r="P61" s="5">
        <v>5272</v>
      </c>
      <c r="Q61">
        <f t="shared" si="0"/>
        <v>1055.4000000000001</v>
      </c>
    </row>
    <row r="62" spans="1:17" x14ac:dyDescent="0.3">
      <c r="A62" t="s">
        <v>129</v>
      </c>
      <c r="B62" t="s">
        <v>35</v>
      </c>
      <c r="C62">
        <v>43</v>
      </c>
      <c r="D62" t="s">
        <v>25</v>
      </c>
      <c r="E62" t="s">
        <v>47</v>
      </c>
      <c r="F62" t="s">
        <v>48</v>
      </c>
      <c r="G62" t="s">
        <v>63</v>
      </c>
      <c r="H62">
        <v>1</v>
      </c>
      <c r="I62">
        <v>4596</v>
      </c>
      <c r="J62" s="1">
        <v>44982</v>
      </c>
      <c r="K62" t="s">
        <v>33</v>
      </c>
      <c r="L62">
        <v>4</v>
      </c>
      <c r="M62">
        <v>12.51</v>
      </c>
      <c r="N62" t="s">
        <v>48</v>
      </c>
      <c r="O62" t="s">
        <v>126</v>
      </c>
      <c r="P62" s="5">
        <v>4596</v>
      </c>
      <c r="Q62">
        <f t="shared" si="0"/>
        <v>920.2</v>
      </c>
    </row>
    <row r="63" spans="1:17" x14ac:dyDescent="0.3">
      <c r="A63" t="s">
        <v>130</v>
      </c>
      <c r="B63" t="s">
        <v>16</v>
      </c>
      <c r="C63">
        <v>51</v>
      </c>
      <c r="D63" t="s">
        <v>25</v>
      </c>
      <c r="E63" t="s">
        <v>31</v>
      </c>
      <c r="F63" t="s">
        <v>37</v>
      </c>
      <c r="G63" t="s">
        <v>56</v>
      </c>
      <c r="H63">
        <v>1</v>
      </c>
      <c r="I63">
        <v>4835</v>
      </c>
      <c r="J63" s="1">
        <v>44989</v>
      </c>
      <c r="K63" t="s">
        <v>38</v>
      </c>
      <c r="L63">
        <v>5</v>
      </c>
      <c r="M63">
        <v>17.12</v>
      </c>
      <c r="N63" t="s">
        <v>37</v>
      </c>
      <c r="O63" t="s">
        <v>131</v>
      </c>
      <c r="P63" s="5">
        <v>4835</v>
      </c>
      <c r="Q63">
        <f t="shared" si="0"/>
        <v>968</v>
      </c>
    </row>
    <row r="64" spans="1:17" x14ac:dyDescent="0.3">
      <c r="A64" t="s">
        <v>132</v>
      </c>
      <c r="B64" t="s">
        <v>59</v>
      </c>
      <c r="C64">
        <v>27</v>
      </c>
      <c r="D64" t="s">
        <v>25</v>
      </c>
      <c r="E64" t="s">
        <v>47</v>
      </c>
      <c r="F64" t="s">
        <v>43</v>
      </c>
      <c r="G64" t="s">
        <v>51</v>
      </c>
      <c r="H64">
        <v>4</v>
      </c>
      <c r="I64">
        <v>3204</v>
      </c>
      <c r="J64" s="1">
        <v>44996</v>
      </c>
      <c r="K64" t="s">
        <v>33</v>
      </c>
      <c r="L64">
        <v>2</v>
      </c>
      <c r="M64">
        <v>0.32</v>
      </c>
      <c r="N64" t="s">
        <v>43</v>
      </c>
      <c r="O64" t="s">
        <v>131</v>
      </c>
      <c r="P64" s="5">
        <v>12816</v>
      </c>
      <c r="Q64">
        <f t="shared" si="0"/>
        <v>2564.2000000000003</v>
      </c>
    </row>
    <row r="65" spans="1:17" x14ac:dyDescent="0.3">
      <c r="A65" t="s">
        <v>133</v>
      </c>
      <c r="B65" t="s">
        <v>30</v>
      </c>
      <c r="C65">
        <v>53</v>
      </c>
      <c r="D65" t="s">
        <v>25</v>
      </c>
      <c r="E65" t="s">
        <v>42</v>
      </c>
      <c r="F65" t="s">
        <v>48</v>
      </c>
      <c r="G65" t="s">
        <v>60</v>
      </c>
      <c r="H65">
        <v>7</v>
      </c>
      <c r="I65">
        <v>2835</v>
      </c>
      <c r="J65" s="1">
        <v>45003</v>
      </c>
      <c r="K65" t="s">
        <v>28</v>
      </c>
      <c r="L65">
        <v>4</v>
      </c>
      <c r="M65">
        <v>10.88</v>
      </c>
      <c r="N65" t="s">
        <v>48</v>
      </c>
      <c r="O65" t="s">
        <v>131</v>
      </c>
      <c r="P65" s="5">
        <v>19845</v>
      </c>
      <c r="Q65">
        <f t="shared" si="0"/>
        <v>3970</v>
      </c>
    </row>
    <row r="66" spans="1:17" x14ac:dyDescent="0.3">
      <c r="A66" t="s">
        <v>134</v>
      </c>
      <c r="B66" t="s">
        <v>83</v>
      </c>
      <c r="C66">
        <v>31</v>
      </c>
      <c r="D66" t="s">
        <v>17</v>
      </c>
      <c r="E66" t="s">
        <v>55</v>
      </c>
      <c r="F66" t="s">
        <v>48</v>
      </c>
      <c r="G66" t="s">
        <v>63</v>
      </c>
      <c r="H66">
        <v>2</v>
      </c>
      <c r="I66">
        <v>4655</v>
      </c>
      <c r="J66" s="1">
        <v>45010</v>
      </c>
      <c r="K66" t="s">
        <v>33</v>
      </c>
      <c r="L66">
        <v>2</v>
      </c>
      <c r="M66">
        <v>28.32</v>
      </c>
      <c r="N66" t="s">
        <v>48</v>
      </c>
      <c r="O66" t="s">
        <v>131</v>
      </c>
      <c r="P66" s="5">
        <v>9310</v>
      </c>
      <c r="Q66">
        <f t="shared" si="0"/>
        <v>1863</v>
      </c>
    </row>
    <row r="67" spans="1:17" x14ac:dyDescent="0.3">
      <c r="A67" t="s">
        <v>135</v>
      </c>
      <c r="B67" t="s">
        <v>92</v>
      </c>
      <c r="C67">
        <v>48</v>
      </c>
      <c r="D67" t="s">
        <v>17</v>
      </c>
      <c r="E67" t="s">
        <v>26</v>
      </c>
      <c r="F67" t="s">
        <v>37</v>
      </c>
      <c r="G67" t="s">
        <v>44</v>
      </c>
      <c r="H67">
        <v>3</v>
      </c>
      <c r="I67">
        <v>1054</v>
      </c>
      <c r="J67" s="1">
        <v>45017</v>
      </c>
      <c r="K67" t="s">
        <v>33</v>
      </c>
      <c r="L67">
        <v>3</v>
      </c>
      <c r="M67">
        <v>27.1</v>
      </c>
      <c r="N67" t="s">
        <v>37</v>
      </c>
      <c r="O67" t="s">
        <v>136</v>
      </c>
      <c r="P67" s="5">
        <v>3162</v>
      </c>
      <c r="Q67">
        <f t="shared" si="0"/>
        <v>633.40000000000009</v>
      </c>
    </row>
    <row r="68" spans="1:17" x14ac:dyDescent="0.3">
      <c r="A68" t="s">
        <v>137</v>
      </c>
      <c r="B68" t="s">
        <v>41</v>
      </c>
      <c r="C68">
        <v>32</v>
      </c>
      <c r="D68" t="s">
        <v>17</v>
      </c>
      <c r="E68" t="s">
        <v>55</v>
      </c>
      <c r="F68" t="s">
        <v>19</v>
      </c>
      <c r="G68" t="s">
        <v>27</v>
      </c>
      <c r="H68">
        <v>1</v>
      </c>
      <c r="I68">
        <v>4665</v>
      </c>
      <c r="J68" s="1">
        <v>45024</v>
      </c>
      <c r="K68" t="s">
        <v>21</v>
      </c>
      <c r="L68">
        <v>1</v>
      </c>
      <c r="M68">
        <v>20.18</v>
      </c>
      <c r="N68" t="s">
        <v>19</v>
      </c>
      <c r="O68" t="s">
        <v>136</v>
      </c>
      <c r="P68" s="5">
        <v>4665</v>
      </c>
      <c r="Q68">
        <f t="shared" ref="Q68:Q101" si="1">0.2*P68+1</f>
        <v>934</v>
      </c>
    </row>
    <row r="69" spans="1:17" x14ac:dyDescent="0.3">
      <c r="A69" t="s">
        <v>138</v>
      </c>
      <c r="B69" t="s">
        <v>92</v>
      </c>
      <c r="C69">
        <v>25</v>
      </c>
      <c r="D69" t="s">
        <v>17</v>
      </c>
      <c r="E69" t="s">
        <v>42</v>
      </c>
      <c r="F69" t="s">
        <v>62</v>
      </c>
      <c r="G69" t="s">
        <v>20</v>
      </c>
      <c r="H69">
        <v>5</v>
      </c>
      <c r="I69">
        <v>3546</v>
      </c>
      <c r="J69" s="1">
        <v>45031</v>
      </c>
      <c r="K69" t="s">
        <v>28</v>
      </c>
      <c r="L69">
        <v>3</v>
      </c>
      <c r="M69">
        <v>20.100000000000001</v>
      </c>
      <c r="N69" t="s">
        <v>62</v>
      </c>
      <c r="O69" t="s">
        <v>136</v>
      </c>
      <c r="P69" s="5">
        <v>17730</v>
      </c>
      <c r="Q69">
        <f t="shared" si="1"/>
        <v>3547</v>
      </c>
    </row>
    <row r="70" spans="1:17" x14ac:dyDescent="0.3">
      <c r="A70" t="s">
        <v>139</v>
      </c>
      <c r="B70" t="s">
        <v>92</v>
      </c>
      <c r="C70">
        <v>31</v>
      </c>
      <c r="D70" t="s">
        <v>25</v>
      </c>
      <c r="E70" t="s">
        <v>26</v>
      </c>
      <c r="F70" t="s">
        <v>37</v>
      </c>
      <c r="G70" t="s">
        <v>60</v>
      </c>
      <c r="H70">
        <v>1</v>
      </c>
      <c r="I70">
        <v>1145</v>
      </c>
      <c r="J70" s="1">
        <v>45038</v>
      </c>
      <c r="K70" t="s">
        <v>21</v>
      </c>
      <c r="L70">
        <v>4</v>
      </c>
      <c r="M70">
        <v>5.7</v>
      </c>
      <c r="N70" t="s">
        <v>37</v>
      </c>
      <c r="O70" t="s">
        <v>136</v>
      </c>
      <c r="P70" s="5">
        <v>1145</v>
      </c>
      <c r="Q70">
        <f t="shared" si="1"/>
        <v>230</v>
      </c>
    </row>
    <row r="71" spans="1:17" x14ac:dyDescent="0.3">
      <c r="A71" t="s">
        <v>140</v>
      </c>
      <c r="B71" t="s">
        <v>35</v>
      </c>
      <c r="C71">
        <v>40</v>
      </c>
      <c r="D71" t="s">
        <v>17</v>
      </c>
      <c r="E71" t="s">
        <v>31</v>
      </c>
      <c r="F71" t="s">
        <v>74</v>
      </c>
      <c r="G71" t="s">
        <v>20</v>
      </c>
      <c r="H71">
        <v>8</v>
      </c>
      <c r="I71">
        <v>1793</v>
      </c>
      <c r="J71" s="1">
        <v>45045</v>
      </c>
      <c r="K71" t="s">
        <v>38</v>
      </c>
      <c r="L71">
        <v>2</v>
      </c>
      <c r="M71">
        <v>21.9</v>
      </c>
      <c r="N71" t="s">
        <v>74</v>
      </c>
      <c r="O71" t="s">
        <v>136</v>
      </c>
      <c r="P71" s="5">
        <v>14344</v>
      </c>
      <c r="Q71">
        <f t="shared" si="1"/>
        <v>2869.8</v>
      </c>
    </row>
    <row r="72" spans="1:17" x14ac:dyDescent="0.3">
      <c r="A72" t="s">
        <v>141</v>
      </c>
      <c r="B72" t="s">
        <v>30</v>
      </c>
      <c r="C72">
        <v>57</v>
      </c>
      <c r="D72" t="s">
        <v>17</v>
      </c>
      <c r="E72" t="s">
        <v>42</v>
      </c>
      <c r="F72" t="s">
        <v>74</v>
      </c>
      <c r="G72" t="s">
        <v>56</v>
      </c>
      <c r="H72">
        <v>1</v>
      </c>
      <c r="I72">
        <v>3536</v>
      </c>
      <c r="J72" s="1">
        <v>45052</v>
      </c>
      <c r="K72" t="s">
        <v>33</v>
      </c>
      <c r="L72">
        <v>2</v>
      </c>
      <c r="M72">
        <v>9.23</v>
      </c>
      <c r="N72" t="s">
        <v>74</v>
      </c>
      <c r="O72" t="s">
        <v>142</v>
      </c>
      <c r="P72" s="5">
        <v>3536</v>
      </c>
      <c r="Q72">
        <f t="shared" si="1"/>
        <v>708.2</v>
      </c>
    </row>
    <row r="73" spans="1:17" x14ac:dyDescent="0.3">
      <c r="A73" t="s">
        <v>143</v>
      </c>
      <c r="B73" t="s">
        <v>16</v>
      </c>
      <c r="C73">
        <v>38</v>
      </c>
      <c r="D73" t="s">
        <v>17</v>
      </c>
      <c r="E73" t="s">
        <v>42</v>
      </c>
      <c r="F73" t="s">
        <v>48</v>
      </c>
      <c r="G73" t="s">
        <v>56</v>
      </c>
      <c r="H73">
        <v>1</v>
      </c>
      <c r="I73">
        <v>662</v>
      </c>
      <c r="J73" s="1">
        <v>45059</v>
      </c>
      <c r="K73" t="s">
        <v>28</v>
      </c>
      <c r="L73">
        <v>5</v>
      </c>
      <c r="M73">
        <v>22.21</v>
      </c>
      <c r="N73" t="s">
        <v>48</v>
      </c>
      <c r="O73" t="s">
        <v>142</v>
      </c>
      <c r="P73" s="5">
        <v>662</v>
      </c>
      <c r="Q73">
        <f t="shared" si="1"/>
        <v>133.4</v>
      </c>
    </row>
    <row r="74" spans="1:17" x14ac:dyDescent="0.3">
      <c r="A74" t="s">
        <v>144</v>
      </c>
      <c r="B74" t="s">
        <v>54</v>
      </c>
      <c r="C74">
        <v>33</v>
      </c>
      <c r="D74" t="s">
        <v>17</v>
      </c>
      <c r="E74" t="s">
        <v>55</v>
      </c>
      <c r="F74" t="s">
        <v>62</v>
      </c>
      <c r="G74" t="s">
        <v>44</v>
      </c>
      <c r="H74">
        <v>2</v>
      </c>
      <c r="I74">
        <v>2585</v>
      </c>
      <c r="J74" s="1">
        <v>45066</v>
      </c>
      <c r="K74" t="s">
        <v>21</v>
      </c>
      <c r="L74">
        <v>2</v>
      </c>
      <c r="M74">
        <v>16.36</v>
      </c>
      <c r="N74" t="s">
        <v>62</v>
      </c>
      <c r="O74" t="s">
        <v>142</v>
      </c>
      <c r="P74" s="5">
        <v>5170</v>
      </c>
      <c r="Q74">
        <f t="shared" si="1"/>
        <v>1035</v>
      </c>
    </row>
    <row r="75" spans="1:17" x14ac:dyDescent="0.3">
      <c r="A75" t="s">
        <v>145</v>
      </c>
      <c r="B75" t="s">
        <v>41</v>
      </c>
      <c r="C75">
        <v>35</v>
      </c>
      <c r="D75" t="s">
        <v>17</v>
      </c>
      <c r="E75" t="s">
        <v>18</v>
      </c>
      <c r="F75" t="s">
        <v>37</v>
      </c>
      <c r="G75" t="s">
        <v>32</v>
      </c>
      <c r="H75">
        <v>2</v>
      </c>
      <c r="I75">
        <v>3454</v>
      </c>
      <c r="J75" s="1">
        <v>45073</v>
      </c>
      <c r="K75" t="s">
        <v>33</v>
      </c>
      <c r="L75">
        <v>5</v>
      </c>
      <c r="M75">
        <v>26.19</v>
      </c>
      <c r="N75" t="s">
        <v>37</v>
      </c>
      <c r="O75" t="s">
        <v>142</v>
      </c>
      <c r="P75" s="5">
        <v>6908</v>
      </c>
      <c r="Q75">
        <f t="shared" si="1"/>
        <v>1382.6000000000001</v>
      </c>
    </row>
    <row r="76" spans="1:17" x14ac:dyDescent="0.3">
      <c r="A76" t="s">
        <v>146</v>
      </c>
      <c r="B76" t="s">
        <v>50</v>
      </c>
      <c r="C76">
        <v>41</v>
      </c>
      <c r="D76" t="s">
        <v>17</v>
      </c>
      <c r="E76" t="s">
        <v>55</v>
      </c>
      <c r="F76" t="s">
        <v>74</v>
      </c>
      <c r="G76" t="s">
        <v>60</v>
      </c>
      <c r="H76">
        <v>6</v>
      </c>
      <c r="I76">
        <v>325</v>
      </c>
      <c r="J76" s="1">
        <v>45080</v>
      </c>
      <c r="K76" t="s">
        <v>67</v>
      </c>
      <c r="L76">
        <v>1</v>
      </c>
      <c r="M76">
        <v>14.2</v>
      </c>
      <c r="N76" t="s">
        <v>74</v>
      </c>
      <c r="O76" t="s">
        <v>147</v>
      </c>
      <c r="P76" s="5">
        <v>1950</v>
      </c>
      <c r="Q76">
        <f t="shared" si="1"/>
        <v>391</v>
      </c>
    </row>
    <row r="77" spans="1:17" x14ac:dyDescent="0.3">
      <c r="A77" t="s">
        <v>148</v>
      </c>
      <c r="B77" t="s">
        <v>35</v>
      </c>
      <c r="C77">
        <v>43</v>
      </c>
      <c r="D77" t="s">
        <v>17</v>
      </c>
      <c r="E77" t="s">
        <v>36</v>
      </c>
      <c r="F77" t="s">
        <v>74</v>
      </c>
      <c r="G77" t="s">
        <v>51</v>
      </c>
      <c r="H77">
        <v>7</v>
      </c>
      <c r="I77">
        <v>4993</v>
      </c>
      <c r="J77" s="1">
        <v>45087</v>
      </c>
      <c r="K77" t="s">
        <v>21</v>
      </c>
      <c r="L77">
        <v>4</v>
      </c>
      <c r="M77">
        <v>0.97</v>
      </c>
      <c r="N77" t="s">
        <v>74</v>
      </c>
      <c r="O77" t="s">
        <v>147</v>
      </c>
      <c r="P77" s="5">
        <v>34951</v>
      </c>
      <c r="Q77">
        <f t="shared" si="1"/>
        <v>6991.2000000000007</v>
      </c>
    </row>
    <row r="78" spans="1:17" x14ac:dyDescent="0.3">
      <c r="A78" t="s">
        <v>149</v>
      </c>
      <c r="B78" t="s">
        <v>41</v>
      </c>
      <c r="C78">
        <v>42</v>
      </c>
      <c r="D78" t="s">
        <v>17</v>
      </c>
      <c r="E78" t="s">
        <v>55</v>
      </c>
      <c r="F78" t="s">
        <v>37</v>
      </c>
      <c r="G78" t="s">
        <v>32</v>
      </c>
      <c r="H78">
        <v>5</v>
      </c>
      <c r="I78">
        <v>1059</v>
      </c>
      <c r="J78" s="1">
        <v>45094</v>
      </c>
      <c r="K78" t="s">
        <v>28</v>
      </c>
      <c r="L78">
        <v>5</v>
      </c>
      <c r="M78">
        <v>7.86</v>
      </c>
      <c r="N78" t="s">
        <v>37</v>
      </c>
      <c r="O78" t="s">
        <v>147</v>
      </c>
      <c r="P78" s="5">
        <v>5295</v>
      </c>
      <c r="Q78">
        <f t="shared" si="1"/>
        <v>1060</v>
      </c>
    </row>
    <row r="79" spans="1:17" x14ac:dyDescent="0.3">
      <c r="A79" t="s">
        <v>150</v>
      </c>
      <c r="B79" t="s">
        <v>83</v>
      </c>
      <c r="C79">
        <v>58</v>
      </c>
      <c r="D79" t="s">
        <v>17</v>
      </c>
      <c r="E79" t="s">
        <v>47</v>
      </c>
      <c r="F79" t="s">
        <v>43</v>
      </c>
      <c r="G79" t="s">
        <v>63</v>
      </c>
      <c r="H79">
        <v>1</v>
      </c>
      <c r="I79">
        <v>4648</v>
      </c>
      <c r="J79" s="1">
        <v>45101</v>
      </c>
      <c r="K79" t="s">
        <v>21</v>
      </c>
      <c r="L79">
        <v>1</v>
      </c>
      <c r="M79">
        <v>2.06</v>
      </c>
      <c r="N79" t="s">
        <v>43</v>
      </c>
      <c r="O79" t="s">
        <v>147</v>
      </c>
      <c r="P79" s="5">
        <v>4648</v>
      </c>
      <c r="Q79">
        <f t="shared" si="1"/>
        <v>930.6</v>
      </c>
    </row>
    <row r="80" spans="1:17" x14ac:dyDescent="0.3">
      <c r="A80" t="s">
        <v>151</v>
      </c>
      <c r="B80" t="s">
        <v>59</v>
      </c>
      <c r="C80">
        <v>46</v>
      </c>
      <c r="D80" t="s">
        <v>25</v>
      </c>
      <c r="E80" t="s">
        <v>42</v>
      </c>
      <c r="F80" t="s">
        <v>48</v>
      </c>
      <c r="G80" t="s">
        <v>32</v>
      </c>
      <c r="H80">
        <v>1</v>
      </c>
      <c r="I80">
        <v>3167</v>
      </c>
      <c r="J80" s="1">
        <v>45108</v>
      </c>
      <c r="K80" t="s">
        <v>21</v>
      </c>
      <c r="L80">
        <v>2</v>
      </c>
      <c r="M80">
        <v>19.149999999999999</v>
      </c>
      <c r="N80" t="s">
        <v>48</v>
      </c>
      <c r="O80" t="s">
        <v>152</v>
      </c>
      <c r="P80" s="5">
        <v>3167</v>
      </c>
      <c r="Q80">
        <f t="shared" si="1"/>
        <v>634.40000000000009</v>
      </c>
    </row>
    <row r="81" spans="1:19" x14ac:dyDescent="0.3">
      <c r="A81" t="s">
        <v>153</v>
      </c>
      <c r="B81" t="s">
        <v>30</v>
      </c>
      <c r="C81">
        <v>32</v>
      </c>
      <c r="D81" t="s">
        <v>17</v>
      </c>
      <c r="E81" t="s">
        <v>55</v>
      </c>
      <c r="F81" t="s">
        <v>37</v>
      </c>
      <c r="G81" t="s">
        <v>51</v>
      </c>
      <c r="H81">
        <v>3</v>
      </c>
      <c r="I81">
        <v>915</v>
      </c>
      <c r="J81" s="1">
        <v>45115</v>
      </c>
      <c r="K81" t="s">
        <v>21</v>
      </c>
      <c r="L81">
        <v>2</v>
      </c>
      <c r="M81">
        <v>8.7100000000000009</v>
      </c>
      <c r="N81" t="s">
        <v>37</v>
      </c>
      <c r="O81" t="s">
        <v>152</v>
      </c>
      <c r="P81" s="5">
        <v>2745</v>
      </c>
      <c r="Q81">
        <f t="shared" si="1"/>
        <v>550</v>
      </c>
    </row>
    <row r="82" spans="1:19" x14ac:dyDescent="0.3">
      <c r="A82" t="s">
        <v>154</v>
      </c>
      <c r="B82" t="s">
        <v>50</v>
      </c>
      <c r="C82">
        <v>18</v>
      </c>
      <c r="D82" t="s">
        <v>17</v>
      </c>
      <c r="E82" t="s">
        <v>42</v>
      </c>
      <c r="F82" t="s">
        <v>43</v>
      </c>
      <c r="G82" t="s">
        <v>27</v>
      </c>
      <c r="H82">
        <v>2</v>
      </c>
      <c r="I82">
        <v>4854</v>
      </c>
      <c r="J82" s="1">
        <v>45122</v>
      </c>
      <c r="K82" t="s">
        <v>38</v>
      </c>
      <c r="L82">
        <v>1</v>
      </c>
      <c r="M82">
        <v>16.809999999999999</v>
      </c>
      <c r="N82" t="s">
        <v>43</v>
      </c>
      <c r="O82" t="s">
        <v>152</v>
      </c>
      <c r="P82" s="5">
        <v>9708</v>
      </c>
      <c r="Q82">
        <f t="shared" si="1"/>
        <v>1942.6000000000001</v>
      </c>
    </row>
    <row r="83" spans="1:19" x14ac:dyDescent="0.3">
      <c r="A83" t="s">
        <v>155</v>
      </c>
      <c r="B83" t="s">
        <v>35</v>
      </c>
      <c r="C83">
        <v>42</v>
      </c>
      <c r="D83" t="s">
        <v>25</v>
      </c>
      <c r="E83" t="s">
        <v>36</v>
      </c>
      <c r="F83" t="s">
        <v>48</v>
      </c>
      <c r="G83" t="s">
        <v>56</v>
      </c>
      <c r="H83">
        <v>5</v>
      </c>
      <c r="I83">
        <v>4742</v>
      </c>
      <c r="J83" s="1">
        <v>45129</v>
      </c>
      <c r="K83" t="s">
        <v>67</v>
      </c>
      <c r="L83">
        <v>2</v>
      </c>
      <c r="M83">
        <v>4.17</v>
      </c>
      <c r="N83" t="s">
        <v>48</v>
      </c>
      <c r="O83" t="s">
        <v>152</v>
      </c>
      <c r="P83" s="5">
        <v>23710</v>
      </c>
      <c r="Q83">
        <f t="shared" si="1"/>
        <v>4743</v>
      </c>
    </row>
    <row r="84" spans="1:19" x14ac:dyDescent="0.3">
      <c r="A84" t="s">
        <v>156</v>
      </c>
      <c r="B84" t="s">
        <v>92</v>
      </c>
      <c r="C84">
        <v>24</v>
      </c>
      <c r="D84" t="s">
        <v>25</v>
      </c>
      <c r="E84" t="s">
        <v>47</v>
      </c>
      <c r="F84" t="s">
        <v>62</v>
      </c>
      <c r="G84" t="s">
        <v>27</v>
      </c>
      <c r="H84">
        <v>6</v>
      </c>
      <c r="I84">
        <v>3220</v>
      </c>
      <c r="J84" s="1">
        <v>45136</v>
      </c>
      <c r="K84" t="s">
        <v>28</v>
      </c>
      <c r="L84">
        <v>1</v>
      </c>
      <c r="M84">
        <v>0.8</v>
      </c>
      <c r="N84" t="s">
        <v>62</v>
      </c>
      <c r="O84" t="s">
        <v>152</v>
      </c>
      <c r="P84" s="5">
        <v>19320</v>
      </c>
      <c r="Q84">
        <f t="shared" si="1"/>
        <v>3865</v>
      </c>
    </row>
    <row r="85" spans="1:19" x14ac:dyDescent="0.3">
      <c r="A85" t="s">
        <v>157</v>
      </c>
      <c r="B85" t="s">
        <v>24</v>
      </c>
      <c r="C85">
        <v>26</v>
      </c>
      <c r="D85" t="s">
        <v>17</v>
      </c>
      <c r="E85" t="s">
        <v>42</v>
      </c>
      <c r="F85" t="s">
        <v>19</v>
      </c>
      <c r="G85" t="s">
        <v>60</v>
      </c>
      <c r="H85">
        <v>7</v>
      </c>
      <c r="I85">
        <v>116</v>
      </c>
      <c r="J85" s="1">
        <v>45143</v>
      </c>
      <c r="K85" t="s">
        <v>28</v>
      </c>
      <c r="L85">
        <v>5</v>
      </c>
      <c r="M85">
        <v>8.27</v>
      </c>
      <c r="N85" t="s">
        <v>19</v>
      </c>
      <c r="O85" t="s">
        <v>158</v>
      </c>
      <c r="P85" s="5">
        <v>812</v>
      </c>
      <c r="Q85">
        <f t="shared" si="1"/>
        <v>163.4</v>
      </c>
    </row>
    <row r="86" spans="1:19" x14ac:dyDescent="0.3">
      <c r="A86" t="s">
        <v>159</v>
      </c>
      <c r="B86" t="s">
        <v>35</v>
      </c>
      <c r="C86">
        <v>41</v>
      </c>
      <c r="D86" t="s">
        <v>17</v>
      </c>
      <c r="E86" t="s">
        <v>55</v>
      </c>
      <c r="F86" t="s">
        <v>48</v>
      </c>
      <c r="G86" t="s">
        <v>32</v>
      </c>
      <c r="H86">
        <v>4</v>
      </c>
      <c r="I86">
        <v>1343</v>
      </c>
      <c r="J86" s="1">
        <v>45150</v>
      </c>
      <c r="K86" t="s">
        <v>28</v>
      </c>
      <c r="L86">
        <v>5</v>
      </c>
      <c r="M86">
        <v>26.63</v>
      </c>
      <c r="N86" t="s">
        <v>48</v>
      </c>
      <c r="O86" t="s">
        <v>158</v>
      </c>
      <c r="P86" s="5">
        <v>5372</v>
      </c>
      <c r="Q86">
        <f t="shared" si="1"/>
        <v>1075.4000000000001</v>
      </c>
    </row>
    <row r="87" spans="1:19" x14ac:dyDescent="0.3">
      <c r="A87" t="s">
        <v>160</v>
      </c>
      <c r="B87" t="s">
        <v>24</v>
      </c>
      <c r="C87">
        <v>18</v>
      </c>
      <c r="D87" t="s">
        <v>25</v>
      </c>
      <c r="E87" t="s">
        <v>42</v>
      </c>
      <c r="F87" t="s">
        <v>62</v>
      </c>
      <c r="G87" t="s">
        <v>60</v>
      </c>
      <c r="H87">
        <v>7</v>
      </c>
      <c r="I87">
        <v>2305</v>
      </c>
      <c r="J87" s="1">
        <v>45157</v>
      </c>
      <c r="K87" t="s">
        <v>33</v>
      </c>
      <c r="L87">
        <v>1</v>
      </c>
      <c r="M87">
        <v>6.4</v>
      </c>
      <c r="N87" t="s">
        <v>62</v>
      </c>
      <c r="O87" t="s">
        <v>158</v>
      </c>
      <c r="P87" s="5">
        <v>16135</v>
      </c>
      <c r="Q87">
        <f t="shared" si="1"/>
        <v>3228</v>
      </c>
    </row>
    <row r="88" spans="1:19" x14ac:dyDescent="0.3">
      <c r="A88" t="s">
        <v>161</v>
      </c>
      <c r="B88" t="s">
        <v>92</v>
      </c>
      <c r="C88">
        <v>25</v>
      </c>
      <c r="D88" t="s">
        <v>17</v>
      </c>
      <c r="E88" t="s">
        <v>26</v>
      </c>
      <c r="F88" t="s">
        <v>19</v>
      </c>
      <c r="G88" t="s">
        <v>27</v>
      </c>
      <c r="H88">
        <v>8</v>
      </c>
      <c r="I88">
        <v>2624</v>
      </c>
      <c r="J88" s="1">
        <v>45164</v>
      </c>
      <c r="K88" t="s">
        <v>28</v>
      </c>
      <c r="L88">
        <v>5</v>
      </c>
      <c r="M88">
        <v>8.9600000000000009</v>
      </c>
      <c r="N88" t="s">
        <v>19</v>
      </c>
      <c r="O88" t="s">
        <v>158</v>
      </c>
      <c r="P88" s="5">
        <v>20992</v>
      </c>
      <c r="Q88">
        <f t="shared" si="1"/>
        <v>4199.4000000000005</v>
      </c>
      <c r="S88" s="5">
        <f>SUM(P:P)</f>
        <v>1278420</v>
      </c>
    </row>
    <row r="89" spans="1:19" x14ac:dyDescent="0.3">
      <c r="A89" t="s">
        <v>162</v>
      </c>
      <c r="B89" t="s">
        <v>59</v>
      </c>
      <c r="C89">
        <v>41</v>
      </c>
      <c r="D89" t="s">
        <v>25</v>
      </c>
      <c r="E89" t="s">
        <v>36</v>
      </c>
      <c r="F89" t="s">
        <v>74</v>
      </c>
      <c r="G89" t="s">
        <v>56</v>
      </c>
      <c r="H89">
        <v>1</v>
      </c>
      <c r="I89">
        <v>1169</v>
      </c>
      <c r="J89" s="1">
        <v>45171</v>
      </c>
      <c r="K89" t="s">
        <v>28</v>
      </c>
      <c r="L89">
        <v>5</v>
      </c>
      <c r="M89">
        <v>7.37</v>
      </c>
      <c r="N89" t="s">
        <v>74</v>
      </c>
      <c r="O89" t="s">
        <v>163</v>
      </c>
      <c r="P89" s="5">
        <v>1169</v>
      </c>
      <c r="Q89">
        <f t="shared" si="1"/>
        <v>234.8</v>
      </c>
    </row>
    <row r="90" spans="1:19" x14ac:dyDescent="0.3">
      <c r="A90" t="s">
        <v>164</v>
      </c>
      <c r="B90" t="s">
        <v>30</v>
      </c>
      <c r="C90">
        <v>28</v>
      </c>
      <c r="D90" t="s">
        <v>25</v>
      </c>
      <c r="E90" t="s">
        <v>47</v>
      </c>
      <c r="F90" t="s">
        <v>74</v>
      </c>
      <c r="G90" t="s">
        <v>65</v>
      </c>
      <c r="H90">
        <v>6</v>
      </c>
      <c r="I90">
        <v>3544</v>
      </c>
      <c r="J90" s="1">
        <v>45178</v>
      </c>
      <c r="K90" t="s">
        <v>67</v>
      </c>
      <c r="L90">
        <v>5</v>
      </c>
      <c r="M90">
        <v>24.71</v>
      </c>
      <c r="N90" t="s">
        <v>74</v>
      </c>
      <c r="O90" t="s">
        <v>163</v>
      </c>
      <c r="P90" s="5">
        <v>21264</v>
      </c>
      <c r="Q90">
        <f t="shared" si="1"/>
        <v>4253.8</v>
      </c>
      <c r="S90" s="15">
        <f>SUM(Q:Q)</f>
        <v>255782.99999999994</v>
      </c>
    </row>
    <row r="91" spans="1:19" x14ac:dyDescent="0.3">
      <c r="A91" t="s">
        <v>165</v>
      </c>
      <c r="B91" t="s">
        <v>16</v>
      </c>
      <c r="C91">
        <v>34</v>
      </c>
      <c r="D91" t="s">
        <v>17</v>
      </c>
      <c r="E91" t="s">
        <v>18</v>
      </c>
      <c r="F91" t="s">
        <v>74</v>
      </c>
      <c r="G91" t="s">
        <v>44</v>
      </c>
      <c r="H91">
        <v>8</v>
      </c>
      <c r="I91">
        <v>2665</v>
      </c>
      <c r="J91" s="1">
        <v>45185</v>
      </c>
      <c r="K91" t="s">
        <v>33</v>
      </c>
      <c r="L91">
        <v>3</v>
      </c>
      <c r="M91">
        <v>24.01</v>
      </c>
      <c r="N91" t="s">
        <v>74</v>
      </c>
      <c r="O91" t="s">
        <v>163</v>
      </c>
      <c r="P91" s="5">
        <v>21320</v>
      </c>
      <c r="Q91">
        <f t="shared" si="1"/>
        <v>4265</v>
      </c>
    </row>
    <row r="92" spans="1:19" x14ac:dyDescent="0.3">
      <c r="A92" t="s">
        <v>166</v>
      </c>
      <c r="B92" t="s">
        <v>35</v>
      </c>
      <c r="C92">
        <v>25</v>
      </c>
      <c r="D92" t="s">
        <v>17</v>
      </c>
      <c r="E92" t="s">
        <v>42</v>
      </c>
      <c r="F92" t="s">
        <v>48</v>
      </c>
      <c r="G92" t="s">
        <v>60</v>
      </c>
      <c r="H92">
        <v>5</v>
      </c>
      <c r="I92">
        <v>1160</v>
      </c>
      <c r="J92" s="1">
        <v>45192</v>
      </c>
      <c r="K92" t="s">
        <v>33</v>
      </c>
      <c r="L92">
        <v>4</v>
      </c>
      <c r="M92">
        <v>23.28</v>
      </c>
      <c r="N92" t="s">
        <v>48</v>
      </c>
      <c r="O92" t="s">
        <v>163</v>
      </c>
      <c r="P92" s="5">
        <v>5800</v>
      </c>
      <c r="Q92">
        <f t="shared" si="1"/>
        <v>1161</v>
      </c>
    </row>
    <row r="93" spans="1:19" x14ac:dyDescent="0.3">
      <c r="A93" t="s">
        <v>167</v>
      </c>
      <c r="B93" t="s">
        <v>54</v>
      </c>
      <c r="C93">
        <v>52</v>
      </c>
      <c r="D93" t="s">
        <v>17</v>
      </c>
      <c r="E93" t="s">
        <v>55</v>
      </c>
      <c r="F93" t="s">
        <v>43</v>
      </c>
      <c r="G93" t="s">
        <v>60</v>
      </c>
      <c r="H93">
        <v>4</v>
      </c>
      <c r="I93">
        <v>2427</v>
      </c>
      <c r="J93" s="1">
        <v>45199</v>
      </c>
      <c r="K93" t="s">
        <v>21</v>
      </c>
      <c r="L93">
        <v>2</v>
      </c>
      <c r="M93">
        <v>1.32</v>
      </c>
      <c r="N93" t="s">
        <v>43</v>
      </c>
      <c r="O93" t="s">
        <v>163</v>
      </c>
      <c r="P93" s="5">
        <v>9708</v>
      </c>
      <c r="Q93">
        <f t="shared" si="1"/>
        <v>1942.6000000000001</v>
      </c>
    </row>
    <row r="94" spans="1:19" x14ac:dyDescent="0.3">
      <c r="A94" t="s">
        <v>168</v>
      </c>
      <c r="B94" t="s">
        <v>92</v>
      </c>
      <c r="C94">
        <v>52</v>
      </c>
      <c r="D94" t="s">
        <v>25</v>
      </c>
      <c r="E94" t="s">
        <v>47</v>
      </c>
      <c r="F94" t="s">
        <v>19</v>
      </c>
      <c r="G94" t="s">
        <v>65</v>
      </c>
      <c r="H94">
        <v>2</v>
      </c>
      <c r="I94">
        <v>3520</v>
      </c>
      <c r="J94" s="1">
        <v>45206</v>
      </c>
      <c r="K94" t="s">
        <v>38</v>
      </c>
      <c r="L94">
        <v>3</v>
      </c>
      <c r="M94">
        <v>18.510000000000002</v>
      </c>
      <c r="N94" t="s">
        <v>19</v>
      </c>
      <c r="O94" t="s">
        <v>169</v>
      </c>
      <c r="P94" s="5">
        <v>7040</v>
      </c>
      <c r="Q94">
        <f t="shared" si="1"/>
        <v>1409</v>
      </c>
    </row>
    <row r="95" spans="1:19" x14ac:dyDescent="0.3">
      <c r="A95" t="s">
        <v>170</v>
      </c>
      <c r="B95" t="s">
        <v>35</v>
      </c>
      <c r="C95">
        <v>50</v>
      </c>
      <c r="D95" t="s">
        <v>25</v>
      </c>
      <c r="E95" t="s">
        <v>55</v>
      </c>
      <c r="F95" t="s">
        <v>74</v>
      </c>
      <c r="G95" t="s">
        <v>63</v>
      </c>
      <c r="H95">
        <v>6</v>
      </c>
      <c r="I95">
        <v>401</v>
      </c>
      <c r="J95" s="1">
        <v>45213</v>
      </c>
      <c r="K95" t="s">
        <v>33</v>
      </c>
      <c r="L95">
        <v>5</v>
      </c>
      <c r="M95">
        <v>17.48</v>
      </c>
      <c r="N95" t="s">
        <v>74</v>
      </c>
      <c r="O95" t="s">
        <v>169</v>
      </c>
      <c r="P95" s="5">
        <v>2406</v>
      </c>
      <c r="Q95">
        <f t="shared" si="1"/>
        <v>482.20000000000005</v>
      </c>
    </row>
    <row r="96" spans="1:19" x14ac:dyDescent="0.3">
      <c r="A96" t="s">
        <v>171</v>
      </c>
      <c r="B96" t="s">
        <v>83</v>
      </c>
      <c r="C96">
        <v>22</v>
      </c>
      <c r="D96" t="s">
        <v>25</v>
      </c>
      <c r="E96" t="s">
        <v>55</v>
      </c>
      <c r="F96" t="s">
        <v>37</v>
      </c>
      <c r="G96" t="s">
        <v>63</v>
      </c>
      <c r="H96">
        <v>6</v>
      </c>
      <c r="I96">
        <v>4376</v>
      </c>
      <c r="J96" s="1">
        <v>45220</v>
      </c>
      <c r="K96" t="s">
        <v>33</v>
      </c>
      <c r="L96">
        <v>1</v>
      </c>
      <c r="M96">
        <v>23.52</v>
      </c>
      <c r="N96" t="s">
        <v>37</v>
      </c>
      <c r="O96" t="s">
        <v>169</v>
      </c>
      <c r="P96" s="5">
        <v>26256</v>
      </c>
      <c r="Q96">
        <f t="shared" si="1"/>
        <v>5252.2000000000007</v>
      </c>
    </row>
    <row r="97" spans="1:17" x14ac:dyDescent="0.3">
      <c r="A97" t="s">
        <v>172</v>
      </c>
      <c r="B97" t="s">
        <v>59</v>
      </c>
      <c r="C97">
        <v>59</v>
      </c>
      <c r="D97" t="s">
        <v>25</v>
      </c>
      <c r="E97" t="s">
        <v>42</v>
      </c>
      <c r="F97" t="s">
        <v>19</v>
      </c>
      <c r="G97" t="s">
        <v>27</v>
      </c>
      <c r="H97">
        <v>1</v>
      </c>
      <c r="I97">
        <v>706</v>
      </c>
      <c r="J97" s="1">
        <v>45227</v>
      </c>
      <c r="K97" t="s">
        <v>67</v>
      </c>
      <c r="L97">
        <v>5</v>
      </c>
      <c r="M97">
        <v>9.4600000000000009</v>
      </c>
      <c r="N97" t="s">
        <v>19</v>
      </c>
      <c r="O97" t="s">
        <v>169</v>
      </c>
      <c r="P97" s="5">
        <v>706</v>
      </c>
      <c r="Q97">
        <f t="shared" si="1"/>
        <v>142.20000000000002</v>
      </c>
    </row>
    <row r="98" spans="1:17" x14ac:dyDescent="0.3">
      <c r="A98" t="s">
        <v>173</v>
      </c>
      <c r="B98" t="s">
        <v>83</v>
      </c>
      <c r="C98">
        <v>56</v>
      </c>
      <c r="D98" t="s">
        <v>25</v>
      </c>
      <c r="E98" t="s">
        <v>55</v>
      </c>
      <c r="F98" t="s">
        <v>19</v>
      </c>
      <c r="G98" t="s">
        <v>60</v>
      </c>
      <c r="H98">
        <v>9</v>
      </c>
      <c r="I98">
        <v>3270</v>
      </c>
      <c r="J98" s="1">
        <v>45234</v>
      </c>
      <c r="K98" t="s">
        <v>28</v>
      </c>
      <c r="L98">
        <v>4</v>
      </c>
      <c r="M98">
        <v>5.2</v>
      </c>
      <c r="N98" t="s">
        <v>19</v>
      </c>
      <c r="O98" t="s">
        <v>174</v>
      </c>
      <c r="P98" s="5">
        <v>29430</v>
      </c>
      <c r="Q98">
        <f t="shared" si="1"/>
        <v>5887</v>
      </c>
    </row>
    <row r="99" spans="1:17" x14ac:dyDescent="0.3">
      <c r="A99" t="s">
        <v>175</v>
      </c>
      <c r="B99" t="s">
        <v>41</v>
      </c>
      <c r="C99">
        <v>58</v>
      </c>
      <c r="D99" t="s">
        <v>17</v>
      </c>
      <c r="E99" t="s">
        <v>42</v>
      </c>
      <c r="F99" t="s">
        <v>43</v>
      </c>
      <c r="G99" t="s">
        <v>56</v>
      </c>
      <c r="H99">
        <v>6</v>
      </c>
      <c r="I99">
        <v>799</v>
      </c>
      <c r="J99" s="1">
        <v>45241</v>
      </c>
      <c r="K99" t="s">
        <v>33</v>
      </c>
      <c r="L99">
        <v>5</v>
      </c>
      <c r="M99">
        <v>12.88</v>
      </c>
      <c r="N99" t="s">
        <v>43</v>
      </c>
      <c r="O99" t="s">
        <v>174</v>
      </c>
      <c r="P99" s="5">
        <v>4794</v>
      </c>
      <c r="Q99">
        <f t="shared" si="1"/>
        <v>959.80000000000007</v>
      </c>
    </row>
    <row r="100" spans="1:17" x14ac:dyDescent="0.3">
      <c r="A100" t="s">
        <v>176</v>
      </c>
      <c r="B100" t="s">
        <v>30</v>
      </c>
      <c r="C100">
        <v>45</v>
      </c>
      <c r="D100" t="s">
        <v>17</v>
      </c>
      <c r="E100" t="s">
        <v>18</v>
      </c>
      <c r="F100" t="s">
        <v>62</v>
      </c>
      <c r="G100" t="s">
        <v>20</v>
      </c>
      <c r="H100">
        <v>3</v>
      </c>
      <c r="I100">
        <v>1239</v>
      </c>
      <c r="J100" s="1">
        <v>45248</v>
      </c>
      <c r="K100" t="s">
        <v>33</v>
      </c>
      <c r="L100">
        <v>1</v>
      </c>
      <c r="M100">
        <v>12.22</v>
      </c>
      <c r="N100" t="s">
        <v>62</v>
      </c>
      <c r="O100" t="s">
        <v>174</v>
      </c>
      <c r="P100" s="5">
        <v>3717</v>
      </c>
      <c r="Q100">
        <f t="shared" si="1"/>
        <v>744.40000000000009</v>
      </c>
    </row>
    <row r="101" spans="1:17" x14ac:dyDescent="0.3">
      <c r="A101" t="s">
        <v>177</v>
      </c>
      <c r="B101" t="s">
        <v>41</v>
      </c>
      <c r="C101">
        <v>24</v>
      </c>
      <c r="D101" t="s">
        <v>17</v>
      </c>
      <c r="E101" t="s">
        <v>26</v>
      </c>
      <c r="F101" t="s">
        <v>43</v>
      </c>
      <c r="G101" t="s">
        <v>27</v>
      </c>
      <c r="H101">
        <v>4</v>
      </c>
      <c r="I101">
        <v>290</v>
      </c>
      <c r="J101" s="1">
        <v>45255</v>
      </c>
      <c r="K101" t="s">
        <v>38</v>
      </c>
      <c r="L101">
        <v>4</v>
      </c>
      <c r="M101">
        <v>20.55</v>
      </c>
      <c r="N101" t="s">
        <v>43</v>
      </c>
      <c r="O101" t="s">
        <v>174</v>
      </c>
      <c r="P101" s="5">
        <v>1160</v>
      </c>
      <c r="Q101">
        <f t="shared" si="1"/>
        <v>233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4AB76219-EA8F-47EC-B366-DA8047E01972}">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06A7F3EA-ADF7-4636-9BA8-A2AE514EB644}">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2nd_Project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Priyanka Pathak</cp:lastModifiedBy>
  <dcterms:created xsi:type="dcterms:W3CDTF">2025-09-20T20:12:22Z</dcterms:created>
  <dcterms:modified xsi:type="dcterms:W3CDTF">2025-09-24T11:24:27Z</dcterms:modified>
</cp:coreProperties>
</file>